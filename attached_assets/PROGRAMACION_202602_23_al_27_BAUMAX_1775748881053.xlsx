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92941b46b5e0c62/PRODUCCION/PROGRAMACION/programacion anterior/"/>
    </mc:Choice>
  </mc:AlternateContent>
  <xr:revisionPtr revIDLastSave="128" documentId="13_ncr:1_{78D4787A-B57D-4BD5-BBE3-342A337F327F}" xr6:coauthVersionLast="47" xr6:coauthVersionMax="47" xr10:uidLastSave="{0CC92EB0-25B3-4964-AC73-361410D01204}"/>
  <bookViews>
    <workbookView xWindow="-108" yWindow="-108" windowWidth="23256" windowHeight="13896" activeTab="3" xr2:uid="{00000000-000D-0000-FFFF-FFFF00000000}"/>
  </bookViews>
  <sheets>
    <sheet name="Sheet1" sheetId="1" r:id="rId1"/>
    <sheet name="Hoja2" sheetId="3" r:id="rId2"/>
    <sheet name="TURNOS" sheetId="6" r:id="rId3"/>
    <sheet name="BASE" sheetId="4" r:id="rId4"/>
    <sheet name="TOTEM" sheetId="7" r:id="rId5"/>
    <sheet name="RESUMEN" sheetId="5" r:id="rId6"/>
  </sheets>
  <externalReferences>
    <externalReference r:id="rId7"/>
  </externalReferences>
  <definedNames>
    <definedName name="_xlnm._FilterDatabase" localSheetId="3" hidden="1">BASE!$A$1:$I$162</definedName>
    <definedName name="_xlnm._FilterDatabase" localSheetId="1" hidden="1">Hoja2!$A$1:$I$162</definedName>
  </definedNames>
  <calcPr calcId="191029"/>
  <pivotCaches>
    <pivotCache cacheId="3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E9" i="5"/>
  <c r="F9" i="5"/>
  <c r="G9" i="5"/>
  <c r="D10" i="5"/>
  <c r="E10" i="5"/>
  <c r="F10" i="5"/>
  <c r="G10" i="5"/>
  <c r="D11" i="5"/>
  <c r="E11" i="5"/>
  <c r="F11" i="5"/>
  <c r="G11" i="5"/>
  <c r="C11" i="5"/>
  <c r="C10" i="5"/>
  <c r="C9" i="5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D13" i="5" l="1"/>
  <c r="C13" i="5"/>
  <c r="C77" i="3"/>
  <c r="C55" i="3"/>
  <c r="C131" i="3"/>
  <c r="C64" i="3"/>
  <c r="C134" i="3"/>
  <c r="C126" i="3"/>
  <c r="C104" i="3"/>
  <c r="C70" i="3"/>
  <c r="C136" i="3"/>
  <c r="C99" i="3"/>
  <c r="C98" i="3"/>
  <c r="C6" i="3"/>
  <c r="C60" i="3"/>
  <c r="C37" i="3"/>
  <c r="C30" i="3"/>
  <c r="C59" i="3"/>
  <c r="C85" i="3"/>
  <c r="C105" i="3"/>
  <c r="C122" i="3"/>
  <c r="C22" i="3"/>
  <c r="C62" i="3"/>
  <c r="C83" i="3"/>
  <c r="C74" i="3"/>
  <c r="C109" i="3"/>
  <c r="C11" i="3"/>
  <c r="C87" i="3"/>
  <c r="C93" i="3"/>
  <c r="C68" i="3"/>
  <c r="E13" i="5" l="1"/>
  <c r="F13" i="5" l="1"/>
  <c r="G13" i="5"/>
</calcChain>
</file>

<file path=xl/sharedStrings.xml><?xml version="1.0" encoding="utf-8"?>
<sst xmlns="http://schemas.openxmlformats.org/spreadsheetml/2006/main" count="2929" uniqueCount="533">
  <si>
    <t>ID</t>
  </si>
  <si>
    <t>Hora de inicio</t>
  </si>
  <si>
    <t>Hora de finalización</t>
  </si>
  <si>
    <t>Correo electrónico</t>
  </si>
  <si>
    <t>Nombre</t>
  </si>
  <si>
    <t>Hora de la última modificación</t>
  </si>
  <si>
    <t>Nombre completo</t>
  </si>
  <si>
    <t>Rut (formato 12345678-9)</t>
  </si>
  <si>
    <t>LUNES 23 DE FEBRERO OP1:  TOMATICAN CON ARROZOP2: POLLO AL JUGO CON ARROZOP3: HIPO TUTO CON REPOLLO-ZAPALLO ITALIANO-ZANAHORIA</t>
  </si>
  <si>
    <t>MARTES 24 DE FEBRERO OP1:  POROTOS PILCO CON CHORIZO OP2: PRIETAS LIONESA CON PUREOP3: HIPO HAMBURGUESA DE VACUNO  CON LECHUGA-TOMATE-CHOCLO</t>
  </si>
  <si>
    <t>MIERCOLES 25 DE FEBRERO OP1:  CARNE MONGOLIANA CON ARROZOP2: CHAMPIÑON SALTEADO  CON ARROZOP3: HIPO FRITO DE ATUN CON LECHUGA-PAPAS COCIDAS-CEBOLLA EN PLUMAS </t>
  </si>
  <si>
    <t>JUEVES 26 DE FEBRERO OP1:  POLLO CUBOS ARVERJADO CON QUIFAROS OP2: POLLO PESTO CON QUIFAROS OP3: HIPO BISTEC DE POLLO  CON POROTO VERDE -TOMATE-HABAS </t>
  </si>
  <si>
    <t>VIERNES 27 DE FEBRERO OP1:  CHULETA ASADA  CON ARROZ Y PAPAS FRITAS OP2: MILANESA DE POLLO CON ARROZ Y PAPAS FRITAS </t>
  </si>
  <si>
    <t>anonymous</t>
  </si>
  <si>
    <t>XIMENA SALAZAR</t>
  </si>
  <si>
    <t>8456853-8</t>
  </si>
  <si>
    <t>VACACIONES/ADMINISTRATIVO </t>
  </si>
  <si>
    <t>Opción 3</t>
  </si>
  <si>
    <t>VACACIONES/ADMINISTRATIVO</t>
  </si>
  <si>
    <t xml:space="preserve">Diego Muñoz </t>
  </si>
  <si>
    <t>21081008-0</t>
  </si>
  <si>
    <t>Opción 1</t>
  </si>
  <si>
    <t>Opción 2</t>
  </si>
  <si>
    <t xml:space="preserve">Williams Tomas Escalona Maldonado </t>
  </si>
  <si>
    <t>19818673-2</t>
  </si>
  <si>
    <t xml:space="preserve">Kevin Ávila arce </t>
  </si>
  <si>
    <t>18925037-1</t>
  </si>
  <si>
    <t>Diana</t>
  </si>
  <si>
    <t xml:space="preserve">25781650-8 </t>
  </si>
  <si>
    <t xml:space="preserve">Ariel Camus Vera </t>
  </si>
  <si>
    <t xml:space="preserve">17415201-2 </t>
  </si>
  <si>
    <t>Miguel angel Negron bustos</t>
  </si>
  <si>
    <t>19280241-5</t>
  </si>
  <si>
    <t>Miguel duran irarrazabal</t>
  </si>
  <si>
    <t>18127633-9</t>
  </si>
  <si>
    <t>Axel acuña peña</t>
  </si>
  <si>
    <t>20910090-8</t>
  </si>
  <si>
    <t>BASTIÁN PÉREZ OJEDA</t>
  </si>
  <si>
    <t>197429658</t>
  </si>
  <si>
    <t>Pablo Damian Maureira Mendoza</t>
  </si>
  <si>
    <t>19001512-2</t>
  </si>
  <si>
    <t xml:space="preserve">Benjamín Andrés Molina Zúñiga </t>
  </si>
  <si>
    <t>20048416-9</t>
  </si>
  <si>
    <t xml:space="preserve">Charlis monjes </t>
  </si>
  <si>
    <t>273228357</t>
  </si>
  <si>
    <t xml:space="preserve">Cristóbal Matías Abascal Lizana </t>
  </si>
  <si>
    <t>15163789-2</t>
  </si>
  <si>
    <t>Gabriel Marambio peschke</t>
  </si>
  <si>
    <t>182764450</t>
  </si>
  <si>
    <t xml:space="preserve">Ignacio Andrés Pizarro Ramirez </t>
  </si>
  <si>
    <t>189847513</t>
  </si>
  <si>
    <t>Mario Villanueva</t>
  </si>
  <si>
    <t>13028690-9</t>
  </si>
  <si>
    <t xml:space="preserve">Alex quezada </t>
  </si>
  <si>
    <t>15361004-5</t>
  </si>
  <si>
    <t xml:space="preserve">Octavio  echeverria cartagena </t>
  </si>
  <si>
    <t>138407217</t>
  </si>
  <si>
    <t xml:space="preserve">Guillermo Diaz </t>
  </si>
  <si>
    <t xml:space="preserve">13800757-k </t>
  </si>
  <si>
    <t>Niza fuentes</t>
  </si>
  <si>
    <t>169303622</t>
  </si>
  <si>
    <t xml:space="preserve">Andrés Guzmán Martínez </t>
  </si>
  <si>
    <t>20099812-k</t>
  </si>
  <si>
    <t xml:space="preserve">Yoseline Isabel solorzano Tamara </t>
  </si>
  <si>
    <t>219705360</t>
  </si>
  <si>
    <t xml:space="preserve">Camila Hernández </t>
  </si>
  <si>
    <t>19168743-4</t>
  </si>
  <si>
    <t xml:space="preserve">David caro villaseca </t>
  </si>
  <si>
    <t>18726492-8</t>
  </si>
  <si>
    <t xml:space="preserve">luis Javier Parra romero </t>
  </si>
  <si>
    <t>25953876-9</t>
  </si>
  <si>
    <t xml:space="preserve">Kevin Briceño </t>
  </si>
  <si>
    <t>196819878</t>
  </si>
  <si>
    <t>Jorge Luis Mendo saucedo</t>
  </si>
  <si>
    <t>26821985-4</t>
  </si>
  <si>
    <t>Dino Vangi</t>
  </si>
  <si>
    <t>26263619-4</t>
  </si>
  <si>
    <t xml:space="preserve">Sergio Felipe Valenzuela Castillo </t>
  </si>
  <si>
    <t xml:space="preserve">21739451-1 </t>
  </si>
  <si>
    <t xml:space="preserve">Jhonny Darius </t>
  </si>
  <si>
    <t>256303892</t>
  </si>
  <si>
    <t xml:space="preserve">Juan Martín Belsuzarre Campos </t>
  </si>
  <si>
    <t>28484408-1</t>
  </si>
  <si>
    <t xml:space="preserve">Daniel yanez </t>
  </si>
  <si>
    <t>261413795</t>
  </si>
  <si>
    <t xml:space="preserve">Carlos Aníbal melin millacura </t>
  </si>
  <si>
    <t>14505469-9</t>
  </si>
  <si>
    <t xml:space="preserve">Jose Acuña </t>
  </si>
  <si>
    <t>20054817-5</t>
  </si>
  <si>
    <t>Gonzalo Cruz</t>
  </si>
  <si>
    <t>19246868-K</t>
  </si>
  <si>
    <t xml:space="preserve">Michael Esteban Calderón Jorquera </t>
  </si>
  <si>
    <t>20823745-4</t>
  </si>
  <si>
    <t xml:space="preserve">Victor carbajal </t>
  </si>
  <si>
    <t xml:space="preserve">22251178-k </t>
  </si>
  <si>
    <t xml:space="preserve">Michael Cabeza </t>
  </si>
  <si>
    <t>20001354-9</t>
  </si>
  <si>
    <t xml:space="preserve">Agustin conde curi </t>
  </si>
  <si>
    <t xml:space="preserve">27390589-8 </t>
  </si>
  <si>
    <t>Johan abel piña ronda</t>
  </si>
  <si>
    <t>19.069.111-k</t>
  </si>
  <si>
    <t xml:space="preserve">Victor aros varela </t>
  </si>
  <si>
    <t xml:space="preserve">11.129.943-9 </t>
  </si>
  <si>
    <t>Alejandro Guevara</t>
  </si>
  <si>
    <t>24603138-k</t>
  </si>
  <si>
    <t>Nicolas zepeda</t>
  </si>
  <si>
    <t>18630023-8</t>
  </si>
  <si>
    <t>Gikberto calle</t>
  </si>
  <si>
    <t>27237007-9 u7</t>
  </si>
  <si>
    <t xml:space="preserve">Sebastián Antonio LLancaqueo Llancaqueo </t>
  </si>
  <si>
    <t>19394186-8</t>
  </si>
  <si>
    <t>Diego alejandro quevedo narvaéz</t>
  </si>
  <si>
    <t>16920656-2</t>
  </si>
  <si>
    <t xml:space="preserve">Alex capcha </t>
  </si>
  <si>
    <t>253713828</t>
  </si>
  <si>
    <t xml:space="preserve">Elmer burgos Eustaquio </t>
  </si>
  <si>
    <t>22248240 2</t>
  </si>
  <si>
    <t xml:space="preserve">Sandi mendez </t>
  </si>
  <si>
    <t>256646188</t>
  </si>
  <si>
    <t>Juan pablo mora</t>
  </si>
  <si>
    <t>177705969</t>
  </si>
  <si>
    <t xml:space="preserve">Roly Huacarpuma Lima </t>
  </si>
  <si>
    <t>273952063</t>
  </si>
  <si>
    <t xml:space="preserve">Renzo giovanni pino cruz </t>
  </si>
  <si>
    <t>177324078</t>
  </si>
  <si>
    <t xml:space="preserve">Felipe Álvarez </t>
  </si>
  <si>
    <t>167805183</t>
  </si>
  <si>
    <t>Gabriel maximiliano Albornoz Aravena</t>
  </si>
  <si>
    <t>21253994-5</t>
  </si>
  <si>
    <t xml:space="preserve">Pablo Tello </t>
  </si>
  <si>
    <t>16798879-2</t>
  </si>
  <si>
    <t>Juan carlos escalona farias</t>
  </si>
  <si>
    <t>101686671</t>
  </si>
  <si>
    <t xml:space="preserve">Gerardo Mendez </t>
  </si>
  <si>
    <t>15234535-6</t>
  </si>
  <si>
    <t>Francisco rodrigo flores vidal</t>
  </si>
  <si>
    <t>9481561-4</t>
  </si>
  <si>
    <t xml:space="preserve">Carlosmario </t>
  </si>
  <si>
    <t>25947499k</t>
  </si>
  <si>
    <t xml:space="preserve">Felipe Ignacio Mora Mora </t>
  </si>
  <si>
    <t>17003790-1</t>
  </si>
  <si>
    <t xml:space="preserve">Allan Harry Leiva López </t>
  </si>
  <si>
    <t>10141211-3</t>
  </si>
  <si>
    <t xml:space="preserve">Ronald Andrés oyarzun </t>
  </si>
  <si>
    <t xml:space="preserve">16148907-7 </t>
  </si>
  <si>
    <t>Nataly  Acevedo</t>
  </si>
  <si>
    <t>21161295-9</t>
  </si>
  <si>
    <t xml:space="preserve">Alexander Adrian Rojas Bucarey </t>
  </si>
  <si>
    <t>19886666-0</t>
  </si>
  <si>
    <t xml:space="preserve">Jose flores saavedra </t>
  </si>
  <si>
    <t xml:space="preserve">9.487.471-8 </t>
  </si>
  <si>
    <t xml:space="preserve">Jorge Ruiz Orbegozo </t>
  </si>
  <si>
    <t>212001821</t>
  </si>
  <si>
    <t xml:space="preserve">Jorge Hernán cruz García </t>
  </si>
  <si>
    <t>19187203-7</t>
  </si>
  <si>
    <t xml:space="preserve">Bastian cortes Carmona </t>
  </si>
  <si>
    <t>19562442-9</t>
  </si>
  <si>
    <t xml:space="preserve">Daniel Zamora </t>
  </si>
  <si>
    <t>213482130</t>
  </si>
  <si>
    <t>Nicolas carquin</t>
  </si>
  <si>
    <t>22105181-5</t>
  </si>
  <si>
    <t xml:space="preserve">Fabián Esteban Rebolledo Vera </t>
  </si>
  <si>
    <t>170649524</t>
  </si>
  <si>
    <t>Victor De La Cruz</t>
  </si>
  <si>
    <t>14.682.203.7</t>
  </si>
  <si>
    <t xml:space="preserve">Juan Carlos Seguel Álvarez </t>
  </si>
  <si>
    <t xml:space="preserve">19162455-6 </t>
  </si>
  <si>
    <t>Luis alfredo caceres canales</t>
  </si>
  <si>
    <t>19754080-k</t>
  </si>
  <si>
    <t xml:space="preserve">Francisco Orlando Soto González </t>
  </si>
  <si>
    <t>189771908-8</t>
  </si>
  <si>
    <t xml:space="preserve">Rodrigo Ivan Solis Barria </t>
  </si>
  <si>
    <t>14195801-1</t>
  </si>
  <si>
    <t>andrew perez soto</t>
  </si>
  <si>
    <t>19684427-9</t>
  </si>
  <si>
    <t>Juan Vega estrafa</t>
  </si>
  <si>
    <t>266823045</t>
  </si>
  <si>
    <t>Cindy Marlen Castillo Vergara</t>
  </si>
  <si>
    <t>18385040-7</t>
  </si>
  <si>
    <t xml:space="preserve">David Alberto Espinoza chandia </t>
  </si>
  <si>
    <t>17182236k</t>
  </si>
  <si>
    <t>Franco sepulveda</t>
  </si>
  <si>
    <t>190379493</t>
  </si>
  <si>
    <t xml:space="preserve">Cristopher ignacio herrera zambrano </t>
  </si>
  <si>
    <t>18603773-1</t>
  </si>
  <si>
    <t xml:space="preserve">sebastián salazar muñoz </t>
  </si>
  <si>
    <t>197484276</t>
  </si>
  <si>
    <t>Segundo armas</t>
  </si>
  <si>
    <t>250457154</t>
  </si>
  <si>
    <t>Jefferson manrique</t>
  </si>
  <si>
    <t>260617338</t>
  </si>
  <si>
    <t xml:space="preserve">Pablo Andrés Palacios </t>
  </si>
  <si>
    <t>18121724-3</t>
  </si>
  <si>
    <t xml:space="preserve">Guillermo emilio Oses Ríos </t>
  </si>
  <si>
    <t>17261853-7</t>
  </si>
  <si>
    <t xml:space="preserve">Arturo Fernando Yupanqui Ramirez </t>
  </si>
  <si>
    <t>23399663-7</t>
  </si>
  <si>
    <t>Claudio Fernando soto mondaca</t>
  </si>
  <si>
    <t>18862670k</t>
  </si>
  <si>
    <t xml:space="preserve">Jorge Axel Ossa cordero </t>
  </si>
  <si>
    <t>18674276-1</t>
  </si>
  <si>
    <t xml:space="preserve">Emanuel Eduardo Retamal Salas </t>
  </si>
  <si>
    <t>18191670-2</t>
  </si>
  <si>
    <t xml:space="preserve">Alejandro Enrique Espinoza arenas </t>
  </si>
  <si>
    <t>14585756-2</t>
  </si>
  <si>
    <t>Karen marcela Vergara albornoz</t>
  </si>
  <si>
    <t>20059508-4</t>
  </si>
  <si>
    <t xml:space="preserve">Nelson Sepúlveda Gonzalez </t>
  </si>
  <si>
    <t>10000806-8</t>
  </si>
  <si>
    <t xml:space="preserve">Héctor Enrique Vicencio Catripan </t>
  </si>
  <si>
    <t>20552867-9</t>
  </si>
  <si>
    <t>Liliana Lozano Mahecha</t>
  </si>
  <si>
    <t>22150213-2</t>
  </si>
  <si>
    <t>Nayaret garcia garcia</t>
  </si>
  <si>
    <t>158197189</t>
  </si>
  <si>
    <t>Fabian lagos</t>
  </si>
  <si>
    <t>199188372</t>
  </si>
  <si>
    <t>MARTIN FRANCISCO VÁSQUEZ NEIRA</t>
  </si>
  <si>
    <t>198379255</t>
  </si>
  <si>
    <t xml:space="preserve">Michael Alejandro Villar Aranda </t>
  </si>
  <si>
    <t>17905126-5</t>
  </si>
  <si>
    <t xml:space="preserve">Andrés Pin Alvarado </t>
  </si>
  <si>
    <t>27470623-6</t>
  </si>
  <si>
    <t xml:space="preserve">Oscar Alberto Salas Becerra </t>
  </si>
  <si>
    <t xml:space="preserve">15722772-6 </t>
  </si>
  <si>
    <t xml:space="preserve">Claudio cesar toro Rubilar </t>
  </si>
  <si>
    <t>13238091-0</t>
  </si>
  <si>
    <t xml:space="preserve">Leonel carrizo González </t>
  </si>
  <si>
    <t>9164465-7</t>
  </si>
  <si>
    <t xml:space="preserve">Cristian tejada </t>
  </si>
  <si>
    <t>26171464-7</t>
  </si>
  <si>
    <t xml:space="preserve">Angel salamanca </t>
  </si>
  <si>
    <t>20.684.166-4</t>
  </si>
  <si>
    <t xml:space="preserve">Felipe Vivar Miranda </t>
  </si>
  <si>
    <t>20424848-6</t>
  </si>
  <si>
    <t xml:space="preserve">María Fernanda Goyos </t>
  </si>
  <si>
    <t>27195140k</t>
  </si>
  <si>
    <t xml:space="preserve">Fabián Andrés zapata ordenes </t>
  </si>
  <si>
    <t>14141643-k</t>
  </si>
  <si>
    <t xml:space="preserve">Luis Morales </t>
  </si>
  <si>
    <t>98926526</t>
  </si>
  <si>
    <t>19069111-k</t>
  </si>
  <si>
    <t>20684166-4</t>
  </si>
  <si>
    <t>19742965-8</t>
  </si>
  <si>
    <t>27322835-7</t>
  </si>
  <si>
    <t>18276445-0</t>
  </si>
  <si>
    <t>18984751-3</t>
  </si>
  <si>
    <t>13840721-7</t>
  </si>
  <si>
    <t>16930362-2</t>
  </si>
  <si>
    <t>21970536-0</t>
  </si>
  <si>
    <t>19681987-8</t>
  </si>
  <si>
    <t>25630389-2</t>
  </si>
  <si>
    <t>26141379-5</t>
  </si>
  <si>
    <t>27237007-9</t>
  </si>
  <si>
    <t>25371382-8</t>
  </si>
  <si>
    <t>25664618-8</t>
  </si>
  <si>
    <t>17770596-9</t>
  </si>
  <si>
    <t>27395206-3</t>
  </si>
  <si>
    <t>17732407-8</t>
  </si>
  <si>
    <t>16780518-3</t>
  </si>
  <si>
    <t>10168667-1</t>
  </si>
  <si>
    <t>25947499-k</t>
  </si>
  <si>
    <t>21200182-1</t>
  </si>
  <si>
    <t>21348213-0</t>
  </si>
  <si>
    <t>17064952-4</t>
  </si>
  <si>
    <t>14682203-7</t>
  </si>
  <si>
    <t>26682304-5</t>
  </si>
  <si>
    <t>17182236-k</t>
  </si>
  <si>
    <t>19037949-3</t>
  </si>
  <si>
    <t>19748427-6</t>
  </si>
  <si>
    <t>25045715-4</t>
  </si>
  <si>
    <t>26061733-8</t>
  </si>
  <si>
    <t>18862670-k</t>
  </si>
  <si>
    <t>15819718-9</t>
  </si>
  <si>
    <t>19918837-2</t>
  </si>
  <si>
    <t>19837925-5</t>
  </si>
  <si>
    <t>27195140-k</t>
  </si>
  <si>
    <t>9892652-6</t>
  </si>
  <si>
    <t>25781650-8</t>
  </si>
  <si>
    <t>17415201-2</t>
  </si>
  <si>
    <t>13800757-k</t>
  </si>
  <si>
    <t>21739451-1</t>
  </si>
  <si>
    <t>22251178-k</t>
  </si>
  <si>
    <t>27390589-8</t>
  </si>
  <si>
    <t>11129943-9</t>
  </si>
  <si>
    <t>16148907-7</t>
  </si>
  <si>
    <t>9487471-8</t>
  </si>
  <si>
    <t>19162455-6</t>
  </si>
  <si>
    <t>15722772-6</t>
  </si>
  <si>
    <t>22248240-2</t>
  </si>
  <si>
    <t>27474408-1</t>
  </si>
  <si>
    <t>19304186-8</t>
  </si>
  <si>
    <t>18977190-8</t>
  </si>
  <si>
    <t>CRUZ C GONZALO</t>
  </si>
  <si>
    <t>MORA MORA FELIPE IGNACIO</t>
  </si>
  <si>
    <t>VILLANUEVA MORENO MARIO ALEJANDRO</t>
  </si>
  <si>
    <t>SALAZAR GUZMAN XIMENA</t>
  </si>
  <si>
    <t>MUÑOZ HUERTA DIEGO ALEJANDRO</t>
  </si>
  <si>
    <t>ESCALONA MALDONADO WILLIAMS TOMAS</t>
  </si>
  <si>
    <t>AVILA ARCE KEVIN EDUARDO</t>
  </si>
  <si>
    <t>AYENSA JIMENEZ DIANA VILLAR</t>
  </si>
  <si>
    <t>CAMUS VERA ARIEL JESUS</t>
  </si>
  <si>
    <t>NEGRON BUSTOS MIGUEL ANGEL</t>
  </si>
  <si>
    <t>DURAN IRARRÁZABAL MIGUEL ANGEL</t>
  </si>
  <si>
    <t xml:space="preserve">ACUÑA PEÑA AXEL NICOLAS </t>
  </si>
  <si>
    <t>PEREZ OJEDA BASTIAN DE JESUS</t>
  </si>
  <si>
    <t>MAUREIRA MENDOZA PABLO DAMIAN</t>
  </si>
  <si>
    <t>MOLINA ZUNIGA BENJAMIN ANDRES</t>
  </si>
  <si>
    <t>MONJES PERAZA CHARLIS DANIEL</t>
  </si>
  <si>
    <t>ABASCAL LIZANA CRISTOBAL MATIAS</t>
  </si>
  <si>
    <t>MARAMBIO PESCHKE GABRIEL ENRIQUE</t>
  </si>
  <si>
    <t>PIZARRO RAMIREZ IGNACIO ANDRES</t>
  </si>
  <si>
    <t>QUEZADA BRAVO ALEX JONATHAN</t>
  </si>
  <si>
    <t>ECHEVERRIA CARTAGENA OCTAVIO ALEJANDRO</t>
  </si>
  <si>
    <t>DIAZ GARRIDO GUILLERMO ANTONIO</t>
  </si>
  <si>
    <t>FUENTES CAVIERES NIZA VALESKA</t>
  </si>
  <si>
    <t>GUZMAN MARTINEZ ANDRES FAVIAN</t>
  </si>
  <si>
    <t>SOLORZANO TAMARA YOSELINE YSABEL</t>
  </si>
  <si>
    <t>HERNANDEZ FUENTES CAMILA ANDREA</t>
  </si>
  <si>
    <t>CARO VILLASECA DAVID ANTONIO</t>
  </si>
  <si>
    <t>PARRA ROMERO LUIS JAVIER</t>
  </si>
  <si>
    <t>BRICEÑO SILVA KEVIN ALEJANDRO</t>
  </si>
  <si>
    <t>MENDO SAUCEDO JORGE LUIS</t>
  </si>
  <si>
    <t>VANGI GUZMAN DINO NICOLA DE JESUS</t>
  </si>
  <si>
    <t>VALENZUELA CASTILLO SERGIO FELIPE</t>
  </si>
  <si>
    <t>DARIUS  JHONNY</t>
  </si>
  <si>
    <t>BELSUZARRE CAMPOS JUAN MARTÍN</t>
  </si>
  <si>
    <t>YANEZ CASTILLO DANIEL ALEJANDRO</t>
  </si>
  <si>
    <t>MELIN MILLACURA CARLOS ANIBAL</t>
  </si>
  <si>
    <t>ACUÑA LAGOS JOSE IGNACIO</t>
  </si>
  <si>
    <t>CALDERON JORQUERA MICHAEL ESTEBAN</t>
  </si>
  <si>
    <t>CARBAJAL CRUZADO  VICTOR</t>
  </si>
  <si>
    <t>CABEZA URREA MICHAEL BRANDON</t>
  </si>
  <si>
    <t>CONDE CURI AGUSTIN</t>
  </si>
  <si>
    <t>PIÑA RONDA JOHAN ABEL</t>
  </si>
  <si>
    <t>AROS VARELA VICTOR HUGO</t>
  </si>
  <si>
    <t>GUEVARA GARCIA JOHN ALEJANDRO</t>
  </si>
  <si>
    <t>ZEPEDA VALLADARES NICOLAS IGNACIO</t>
  </si>
  <si>
    <t>CALLE ABRAMONTE GILBERTO</t>
  </si>
  <si>
    <t>LLANCAQUEO LLANCAQUEO SEBASTIAN ANTONIO</t>
  </si>
  <si>
    <t>QUEVEDO NARVAEZ DIEGO ALEJANDRO</t>
  </si>
  <si>
    <t>CAPCHA MEZA ALEX GERMAN</t>
  </si>
  <si>
    <t>BURGOS EUSTAQUIO ELMER</t>
  </si>
  <si>
    <t>MENDEZ ANDRADE SANDI JOSE</t>
  </si>
  <si>
    <t>MORA MENESES JUAN PABLO</t>
  </si>
  <si>
    <t>HUACARPUMA LIMA ROLY</t>
  </si>
  <si>
    <t>PINO CRUZ RENZO GIOVANNI</t>
  </si>
  <si>
    <t>ALVAREZ CARRASCO FELIPE EDUARDO</t>
  </si>
  <si>
    <t>ALBORNOZ ARAVENA GABRIEL MAXIMILIANO</t>
  </si>
  <si>
    <t>TELLO BELTRAN PABLO ANTONIO</t>
  </si>
  <si>
    <t>ESCALONA FARIAS JUAN CARLOS</t>
  </si>
  <si>
    <t>MENDEZ MANRIQUEZ GERARDO IVAN</t>
  </si>
  <si>
    <t>FLORES VIDAL FRANCISCO RODRIGO</t>
  </si>
  <si>
    <t>GONZALEZ MURILLO CARLOS MARIO</t>
  </si>
  <si>
    <t>LEIVA LOPEZ ALLAN HARRY</t>
  </si>
  <si>
    <t>OYARZUN GALLARDO RONALD ANDRES</t>
  </si>
  <si>
    <t>ACEVEDO CORTES NATALY JAVIERA</t>
  </si>
  <si>
    <t>ROJAS BUCAREY ALEXANDER ADRIAN</t>
  </si>
  <si>
    <t>FLORES SAAVEDRA JOSE ALBERTO</t>
  </si>
  <si>
    <t>RUIZ ORBEGOZO JORGE LUIS</t>
  </si>
  <si>
    <t>CRUZ GARCIA JORGE HERNAN</t>
  </si>
  <si>
    <t>CORTES CARMONA BASTIAN HERNAN</t>
  </si>
  <si>
    <t>ZAMORA YAÑEZ DANIEL FRANCISCO</t>
  </si>
  <si>
    <t>CARQUIN GUAJARDO NICOLAS IGNACIO</t>
  </si>
  <si>
    <t>REBOLLEDO VERA FABIÁN ESTEBAN</t>
  </si>
  <si>
    <t>DE LA CRUZ PIMINCHUMO VICTOR MANUEL</t>
  </si>
  <si>
    <t>SEGUEL ALVAREZ JUAN CARLOS</t>
  </si>
  <si>
    <t>CACERES CANALES LUIS ALFREDO</t>
  </si>
  <si>
    <t>SOTO GONZÁLEZ FRANCISCO ORLANDO</t>
  </si>
  <si>
    <t>SOLIS BARRIA RODRIGO IVAN</t>
  </si>
  <si>
    <t>PEREZ SOTO ANDREW BRYAN</t>
  </si>
  <si>
    <t>VEGA ESTRADA JUAN FELIX</t>
  </si>
  <si>
    <t>CASTILLO VERGARA CINDY MARLEN</t>
  </si>
  <si>
    <t>ESPINOZA CHANDIA DAVID ALBERTO</t>
  </si>
  <si>
    <t>SEPULVEDA ESPINOZA FRANCO ADONIS</t>
  </si>
  <si>
    <t>HERRERA ZAMBRANO CRISTOPHER IGNACIO</t>
  </si>
  <si>
    <t>SALAZAR MUÑOZ SEBASTIAN IGNACIO</t>
  </si>
  <si>
    <t>ARMAS RUIZ SEGUNDO DIONICIO</t>
  </si>
  <si>
    <t>MANRIQUE GARCIA JEFFERSON</t>
  </si>
  <si>
    <t>PALACIOS PERALTA PABLO ANDRES</t>
  </si>
  <si>
    <t>OSES RÍOS GUILLERMO EMILIO</t>
  </si>
  <si>
    <t>YUPANQUI RAMIREZ ARTURO FERNANDO</t>
  </si>
  <si>
    <t>SOTO MONDACA CLAUDIO FERNANDO</t>
  </si>
  <si>
    <t>OSSA CORDERO JORGE AXEL</t>
  </si>
  <si>
    <t>RETAMAL SALAS EMANUEL EDUARDO</t>
  </si>
  <si>
    <t>ESPINOSA ARENAS ALEJANDRO ENRIQUE</t>
  </si>
  <si>
    <t>VERGARA ALBORNOZ KAREN MARCELA</t>
  </si>
  <si>
    <t>SEPULVEDA GONZALEZ NELSON JOHN</t>
  </si>
  <si>
    <t>VICENCIO CATRIPAN HECTOR ENRIQUE</t>
  </si>
  <si>
    <t>LOZANO MAHECHA LILIANA</t>
  </si>
  <si>
    <t>GARCIA GARCIA NAYARET CATHERINNE</t>
  </si>
  <si>
    <t>LAGOS MARTINEZ FABIAN ALEJANDRO</t>
  </si>
  <si>
    <t>VASQUEZ NEIRA MARTIN FRANCISCO</t>
  </si>
  <si>
    <t>VILLAR ARANDA MICHAEL ALEJANDRO</t>
  </si>
  <si>
    <t>PIN ALVARADO ANDRES ANGEL</t>
  </si>
  <si>
    <t>SALAS BECERRA OSCAR ALBERTO</t>
  </si>
  <si>
    <t>TORO RUBILAR CLAUDIO CESAR</t>
  </si>
  <si>
    <t>CARRIZO GONZALEZ LEONEL ALAMIRO</t>
  </si>
  <si>
    <t>TEJADA GRANADA CRISTIAN SOLANO</t>
  </si>
  <si>
    <t>SALAMANCA PEREZ ANGEL ANTONIO</t>
  </si>
  <si>
    <t>VIVAR MIRANDA FELIPE ESTEBAN</t>
  </si>
  <si>
    <t>GOYOS MADRIZ MARÍA FERNANDA</t>
  </si>
  <si>
    <t>ZAPATA ORDENES FABIAN ANDRÉS</t>
  </si>
  <si>
    <t>MORALES JORQUERA LUIS EDUARDO</t>
  </si>
  <si>
    <t>15287012-4</t>
  </si>
  <si>
    <t>20219329-3</t>
  </si>
  <si>
    <t>15686018-2</t>
  </si>
  <si>
    <t>16978205-9</t>
  </si>
  <si>
    <t>25322034-1</t>
  </si>
  <si>
    <t>19171156-4</t>
  </si>
  <si>
    <t>10391800-6</t>
  </si>
  <si>
    <t>26983276-2</t>
  </si>
  <si>
    <t>21254167-2</t>
  </si>
  <si>
    <t>19857311-6</t>
  </si>
  <si>
    <t>20383468-3</t>
  </si>
  <si>
    <t>19565261-9</t>
  </si>
  <si>
    <t>15995035-2</t>
  </si>
  <si>
    <t>16986485-3</t>
  </si>
  <si>
    <t>20130821-6</t>
  </si>
  <si>
    <t>17150007-9</t>
  </si>
  <si>
    <t>17110641-9</t>
  </si>
  <si>
    <t>13460815-3</t>
  </si>
  <si>
    <t>18697014-4</t>
  </si>
  <si>
    <t>17738525-5</t>
  </si>
  <si>
    <t>21475887-3</t>
  </si>
  <si>
    <t>17620879-1</t>
  </si>
  <si>
    <t>21993393-2</t>
  </si>
  <si>
    <t>25057090-2</t>
  </si>
  <si>
    <t>25173871-8</t>
  </si>
  <si>
    <t>25406099-2</t>
  </si>
  <si>
    <t>10281436-3</t>
  </si>
  <si>
    <t>17426727-8</t>
  </si>
  <si>
    <t>12142905-5</t>
  </si>
  <si>
    <t>15960166-8</t>
  </si>
  <si>
    <t>13479870-K</t>
  </si>
  <si>
    <t>26056584-2</t>
  </si>
  <si>
    <t>13078992-7</t>
  </si>
  <si>
    <t>19170786-9</t>
  </si>
  <si>
    <t>44520822-1</t>
  </si>
  <si>
    <t>19656729-1</t>
  </si>
  <si>
    <t>19003121-7</t>
  </si>
  <si>
    <t>28607962-8</t>
  </si>
  <si>
    <t>15539417-K</t>
  </si>
  <si>
    <t>15168413-0</t>
  </si>
  <si>
    <t>18330652-9</t>
  </si>
  <si>
    <t>14364450-2</t>
  </si>
  <si>
    <t>20138497-4</t>
  </si>
  <si>
    <t>44563760-2</t>
  </si>
  <si>
    <t>CORNEJO CORNEJO ALEJANDRO ANTONIO</t>
  </si>
  <si>
    <t>DIAZ CARVAJAL PATRICIO RENE</t>
  </si>
  <si>
    <t>FABIO ARAYA CLAUDIO FERNANDO</t>
  </si>
  <si>
    <t>MALDONADO MAÑAN BRYAN OMAR</t>
  </si>
  <si>
    <t>MILLAN ARAVENA ALVARO</t>
  </si>
  <si>
    <t>MONTES UBILLA JUAN CARLOS</t>
  </si>
  <si>
    <t>MUÑOZ PIÑA SERGIO DAVID</t>
  </si>
  <si>
    <t>MUÑOZ TAPIA MARCO ANTONIO</t>
  </si>
  <si>
    <t>NEIRA FERNANDEZ CRISTOBAL DAVID</t>
  </si>
  <si>
    <t>OJEDA LUGO CARLOS LUIS</t>
  </si>
  <si>
    <t>OSORIO VEGA SANTIAGO</t>
  </si>
  <si>
    <t>SANDOVAL QUEZADA OSCAR FERNANDO</t>
  </si>
  <si>
    <t>SANDOVAL RUBILAR FREDY ALEJANDRO</t>
  </si>
  <si>
    <t xml:space="preserve">SEPULVEDA SALAZAR FABIANA YAMILETH </t>
  </si>
  <si>
    <t>SUAREZ CARRILLO JORGE ANDRES</t>
  </si>
  <si>
    <t>VARGAS MORALES CARLOS ARMANDO</t>
  </si>
  <si>
    <t>VERA MUÑOZ BASTIAN IGNACIO</t>
  </si>
  <si>
    <t>ZAMBRANO SERRANO ELIAS RAMON</t>
  </si>
  <si>
    <t>TURNO ASIGNADO SEMANA 23 AL 27 DE FEBRERO 2026</t>
  </si>
  <si>
    <t>C</t>
  </si>
  <si>
    <t>AM</t>
  </si>
  <si>
    <t>PM</t>
  </si>
  <si>
    <t>VAC</t>
  </si>
  <si>
    <t>NOCHE</t>
  </si>
  <si>
    <t>RUT</t>
  </si>
  <si>
    <t>NO</t>
  </si>
  <si>
    <t>ALARCON SANCHEZ ROSAMEL DEL TRANSITO</t>
  </si>
  <si>
    <t>AVALOS CISNEROS FERNANDO</t>
  </si>
  <si>
    <t>CANO HERRERA JAVIER PERSI</t>
  </si>
  <si>
    <t>COLIMAN RODRÍGUEZ FRANCISCO MANUEL</t>
  </si>
  <si>
    <t>DELGADO LABRA NICOLAS IGNACIO</t>
  </si>
  <si>
    <t>HERRERA ASTETE EDWIN MAURICIO</t>
  </si>
  <si>
    <t>IRARRAZABAL VILLANUEVA ARIEL JESUS</t>
  </si>
  <si>
    <t>LAGOS BRAVO IVAN ANDRES</t>
  </si>
  <si>
    <t>LAPLECHADE ORREGO FRANCISCO JAVIER</t>
  </si>
  <si>
    <t>LEON LEON JEAN MARIE</t>
  </si>
  <si>
    <t>MANSILLA BARRIENTOS MARCIA DOLENA</t>
  </si>
  <si>
    <t>MARTINEZ CONEJEROS BRYAN ALEJANDRO</t>
  </si>
  <si>
    <t>MENDEZ LARA KRISTOPHER ALEXANDER</t>
  </si>
  <si>
    <t>MOLINA PAREDES FELIPE IGNACIO</t>
  </si>
  <si>
    <t>MOSTACERO BANCES WILSON LEO</t>
  </si>
  <si>
    <t>MUÑOZ MUÑOZ RODOLFO IVAN</t>
  </si>
  <si>
    <t>ORTIZ MUÑOZ DAVID ALFONSO</t>
  </si>
  <si>
    <t>PERALTA ESPINOZA GILBERTO IVAN</t>
  </si>
  <si>
    <t>PINO PULGAR KEVIN ANDRES</t>
  </si>
  <si>
    <t>PIÑA RONDA ALAN</t>
  </si>
  <si>
    <t>RAMOS RODRIGUEZ JAIVER GABRIEL</t>
  </si>
  <si>
    <t>REBOLLEDO TREJOS NICOLAS ALEJANDRO</t>
  </si>
  <si>
    <t>RUBIO VARAS SANTOS FELIPE</t>
  </si>
  <si>
    <t>SOTO REUMANTE CHRISTIAN ALEXIS</t>
  </si>
  <si>
    <t>VALDES SEPULVEDA JAVIER ABDON</t>
  </si>
  <si>
    <t>VELASQUEZ VASQUEZ JACOB ARCADIO</t>
  </si>
  <si>
    <t>VILLAGRAN MACHUCA NATANAEL RODRIGO</t>
  </si>
  <si>
    <t>VILLANUEVA SEPULVEDA ANDRO JARED</t>
  </si>
  <si>
    <t>OP1:  TOMATICAN CON ARROZ</t>
  </si>
  <si>
    <t>OP2: POLLO AL JUGO CON ARROZ</t>
  </si>
  <si>
    <t>OP3: HIPO TUTO CON REPOLLO-ZAPALLO ITALIANO-ZANAHORIA</t>
  </si>
  <si>
    <t>OP1:  POROTOS PILCO CON CHORIZO </t>
  </si>
  <si>
    <t>OP2: PRIETAS LIONESA CON PURE</t>
  </si>
  <si>
    <t>OP3: HIPO HAMBURGUESA DE VACUNO  CON LECHUGA-TOMATE-CHOCLO</t>
  </si>
  <si>
    <t>OP1:  CARNE MONGOLIANA CON ARROZ</t>
  </si>
  <si>
    <t>OP2: CHAMPIÑON SALTEADO  CON ARROZ</t>
  </si>
  <si>
    <t>OP3: HIPO FRITO DE ATUN CON LECHUGA-PAPAS COCIDAS-CEBOLLA EN PLUMAS </t>
  </si>
  <si>
    <t>OP1:  POLLO CUBOS ARVERJADO CON QUIFAROS</t>
  </si>
  <si>
    <t> OP2: POLLO PESTO CON QUIFAROS </t>
  </si>
  <si>
    <t>OP3: HIPO BISTEC DE POLLO  CON POROTO VERDE -TOMATE-HABAS </t>
  </si>
  <si>
    <t>OP1:  CHULETA ASADA  CON ARROZ Y PAPAS FRITAS </t>
  </si>
  <si>
    <t>OP2: MILANESA DE POLLO CON ARROZ Y PAPAS FRITAS </t>
  </si>
  <si>
    <t>TURNO</t>
  </si>
  <si>
    <t>TURNO DIA</t>
  </si>
  <si>
    <t>TURNO TARDE</t>
  </si>
  <si>
    <t>Total general</t>
  </si>
  <si>
    <t>Cuenta de 23/02/2026</t>
  </si>
  <si>
    <t>23/02/2026</t>
  </si>
  <si>
    <t>Total 1</t>
  </si>
  <si>
    <t>Total 2</t>
  </si>
  <si>
    <t>Total 3</t>
  </si>
  <si>
    <t>Cuenta de 24/02/2026</t>
  </si>
  <si>
    <t>24/02/2026</t>
  </si>
  <si>
    <t>Cuenta de 25/02/2026</t>
  </si>
  <si>
    <t>25/02/2026</t>
  </si>
  <si>
    <t>Cuenta de 26/02/2026</t>
  </si>
  <si>
    <t>26/02/2026</t>
  </si>
  <si>
    <t>Cuenta de 27/02/2026</t>
  </si>
  <si>
    <t>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</si>
</sst>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pivotButton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umaxchile.sharepoint.com/sites/RRHH/Documentos%20compartidos/RRHH-Baumax/03%20Remuneraciones/01%20Remun/2026/02%20Febrero%202026/Turnos/00%20TURNOS%20BASE.xlsx" TargetMode="External"/><Relationship Id="rId1" Type="http://schemas.openxmlformats.org/officeDocument/2006/relationships/externalLinkPath" Target="https://baumaxchile.sharepoint.com/sites/RRHH/Documentos%20compartidos/RRHH-Baumax/03%20Remuneraciones/01%20Remun/2026/02%20Febrero%202026/Turnos/00%20TURNOS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rarios Turnos"/>
      <sheetName val="TD Sem 9"/>
      <sheetName val="RESUMEN"/>
      <sheetName val="Base Trab"/>
      <sheetName val="Novedades Vans"/>
      <sheetName val="Turno Sem 07"/>
      <sheetName val="BASE"/>
      <sheetName val="Hoja2"/>
      <sheetName val="Turno Sem 08"/>
      <sheetName val="Trab 14 02 26"/>
      <sheetName val="Trab 21-02-26"/>
    </sheetNames>
    <sheetDataSet>
      <sheetData sheetId="0"/>
      <sheetData sheetId="1"/>
      <sheetData sheetId="2"/>
      <sheetData sheetId="3">
        <row r="3">
          <cell r="A3" t="str">
            <v>15163789-2</v>
          </cell>
          <cell r="B3" t="str">
            <v>ABASCAL LIZANA CRISTOBAL MATIAS</v>
          </cell>
        </row>
        <row r="4">
          <cell r="A4" t="str">
            <v>21161295-9</v>
          </cell>
          <cell r="B4" t="str">
            <v>ACEVEDO CORTES NATALY JAVIERA</v>
          </cell>
        </row>
        <row r="5">
          <cell r="A5" t="str">
            <v>20054817-5</v>
          </cell>
          <cell r="B5" t="str">
            <v>ACUÑA LAGOS JOSE IGNACIO</v>
          </cell>
        </row>
        <row r="6">
          <cell r="A6" t="str">
            <v>20910090-8</v>
          </cell>
          <cell r="B6" t="str">
            <v>ACUÑA PEÑA AXEL NICOLAS</v>
          </cell>
        </row>
        <row r="7">
          <cell r="A7" t="str">
            <v>12321637-7</v>
          </cell>
          <cell r="B7" t="str">
            <v>AGUAYO VASQUEZ MARCO ANTONIO</v>
          </cell>
        </row>
        <row r="8">
          <cell r="A8" t="str">
            <v>18090950-8</v>
          </cell>
          <cell r="B8" t="str">
            <v>AGUILERA AGUILERA PATRICIO ALEJANDRO</v>
          </cell>
        </row>
        <row r="9">
          <cell r="A9" t="str">
            <v>15995035-2</v>
          </cell>
          <cell r="B9" t="str">
            <v>ALARCON SANCHEZ ROSAMEL DEL TRANSITO</v>
          </cell>
        </row>
        <row r="10">
          <cell r="A10" t="str">
            <v>21253994-5</v>
          </cell>
          <cell r="B10" t="str">
            <v>ALBORNOZ ARAVENA GABRIEL MAXIMILIANO</v>
          </cell>
        </row>
        <row r="11">
          <cell r="A11" t="str">
            <v>14138255-1</v>
          </cell>
          <cell r="B11" t="str">
            <v>ALVARADO PACHECO ALEJANDRO</v>
          </cell>
        </row>
        <row r="12">
          <cell r="A12" t="str">
            <v>16780518-3</v>
          </cell>
          <cell r="B12" t="str">
            <v>ALVAREZ CARRASCO FELIPE EDUARDO</v>
          </cell>
        </row>
        <row r="13">
          <cell r="A13" t="str">
            <v>13798910-7</v>
          </cell>
          <cell r="B13" t="str">
            <v>ALVAREZ SAEZ ALEX RODRIGO</v>
          </cell>
        </row>
        <row r="14">
          <cell r="A14" t="str">
            <v>18320581-1</v>
          </cell>
          <cell r="B14" t="str">
            <v>ALVAREZ VALLEJOS WILSON DANIEL</v>
          </cell>
        </row>
        <row r="15">
          <cell r="A15" t="str">
            <v>26720849-2</v>
          </cell>
          <cell r="B15" t="str">
            <v>ANDRADE DE LA CRUZ GERSON STEVEN</v>
          </cell>
        </row>
        <row r="16">
          <cell r="A16" t="str">
            <v>12332018-2</v>
          </cell>
          <cell r="B16" t="str">
            <v>ARANEDA YAÑEZ CHRISTIAN HERNAN</v>
          </cell>
        </row>
        <row r="17">
          <cell r="A17" t="str">
            <v>17523089-0</v>
          </cell>
          <cell r="B17" t="str">
            <v>ARANGUIZ MARTINEZ CARLOS ANTONIO</v>
          </cell>
        </row>
        <row r="18">
          <cell r="A18" t="str">
            <v>19363469-9</v>
          </cell>
          <cell r="B18" t="str">
            <v>ARAVENA VERA MARIA SOLEDAD</v>
          </cell>
        </row>
        <row r="19">
          <cell r="A19" t="str">
            <v>18636509-7</v>
          </cell>
          <cell r="B19" t="str">
            <v>ARELLANO FERNANDEZ ISABELA PAULINA</v>
          </cell>
        </row>
        <row r="20">
          <cell r="A20" t="str">
            <v>25045715-4</v>
          </cell>
          <cell r="B20" t="str">
            <v>ARMAS RUIZ SEGUNDO DIONICIO</v>
          </cell>
        </row>
        <row r="21">
          <cell r="A21" t="str">
            <v>11129943-9</v>
          </cell>
          <cell r="B21" t="str">
            <v>AROS VARELA VICTOR HUGO</v>
          </cell>
        </row>
        <row r="22">
          <cell r="A22" t="str">
            <v>16801114-8</v>
          </cell>
          <cell r="B22" t="str">
            <v>ARRIAGADA PEÑA EMILIO ALEXIS</v>
          </cell>
        </row>
        <row r="23">
          <cell r="A23" t="str">
            <v>26320040-3</v>
          </cell>
          <cell r="B23" t="str">
            <v>ARROYO GONZALEZ SEBASTIAN</v>
          </cell>
        </row>
        <row r="24">
          <cell r="A24" t="str">
            <v>24849162-0</v>
          </cell>
          <cell r="B24" t="str">
            <v>ARROYO GONZALEZ YEIN</v>
          </cell>
        </row>
        <row r="25">
          <cell r="A25" t="str">
            <v>22987651-1</v>
          </cell>
          <cell r="B25" t="str">
            <v>ARROYO NN ANDRES FELIPE</v>
          </cell>
        </row>
        <row r="26">
          <cell r="A26" t="str">
            <v>25406099-2</v>
          </cell>
          <cell r="B26" t="str">
            <v>AVALOS CISNEROS FERNANDO</v>
          </cell>
        </row>
        <row r="27">
          <cell r="A27" t="str">
            <v>21960167-0</v>
          </cell>
          <cell r="B27" t="str">
            <v>AVALOS CISNEROS VICTOR ORLANDO</v>
          </cell>
        </row>
        <row r="28">
          <cell r="A28" t="str">
            <v>18925037-1</v>
          </cell>
          <cell r="B28" t="str">
            <v>AVILA ARCE KEVIN EDUARDO</v>
          </cell>
        </row>
        <row r="29">
          <cell r="A29" t="str">
            <v>25781650-8</v>
          </cell>
          <cell r="B29" t="str">
            <v>AYENSA JIMENEZ DIANA VILLAR</v>
          </cell>
        </row>
        <row r="30">
          <cell r="A30" t="str">
            <v>18376374-1</v>
          </cell>
          <cell r="B30" t="str">
            <v>BAEZA OLEA MATIAS LEONARDO</v>
          </cell>
        </row>
        <row r="31">
          <cell r="A31" t="str">
            <v>20307489-1</v>
          </cell>
          <cell r="B31" t="str">
            <v>BARROS SANTOS ELIANO JOSE</v>
          </cell>
        </row>
        <row r="32">
          <cell r="A32" t="str">
            <v>27474408-1</v>
          </cell>
          <cell r="B32" t="str">
            <v>BELSUZARRE CAMPOS JUAN MARTIN</v>
          </cell>
        </row>
        <row r="33">
          <cell r="A33" t="str">
            <v>16098415-5</v>
          </cell>
          <cell r="B33" t="str">
            <v>BINIMELIS LARRAIN PATRICIA MARIA</v>
          </cell>
        </row>
        <row r="34">
          <cell r="A34" t="str">
            <v>25990990-2</v>
          </cell>
          <cell r="B34" t="str">
            <v>BONTEMPS MEJIAS INES ANDREA</v>
          </cell>
        </row>
        <row r="35">
          <cell r="A35" t="str">
            <v>19681987-8</v>
          </cell>
          <cell r="B35" t="str">
            <v>BRICEÑO SILVA KEVIN ALEJANDRO</v>
          </cell>
        </row>
        <row r="36">
          <cell r="A36" t="str">
            <v>22248240-2</v>
          </cell>
          <cell r="B36" t="str">
            <v>BURGOS EUSTAQUIO ELMER</v>
          </cell>
        </row>
        <row r="37">
          <cell r="A37" t="str">
            <v>20001354-9</v>
          </cell>
          <cell r="B37" t="str">
            <v>CABEZA URREA MICHAEL BRANDON</v>
          </cell>
        </row>
        <row r="38">
          <cell r="A38" t="str">
            <v>19754080-K</v>
          </cell>
          <cell r="B38" t="str">
            <v>CACERES CANALES LUIS ALFREDO</v>
          </cell>
        </row>
        <row r="39">
          <cell r="A39" t="str">
            <v>20823745-4</v>
          </cell>
          <cell r="B39" t="str">
            <v>CALDERON JORQUERA MICHAEL ESTEBAN</v>
          </cell>
        </row>
        <row r="40">
          <cell r="A40" t="str">
            <v>27237007-9</v>
          </cell>
          <cell r="B40" t="str">
            <v>CALLE ABRAMONTE GILBERTO</v>
          </cell>
        </row>
        <row r="41">
          <cell r="A41" t="str">
            <v>17415201-2</v>
          </cell>
          <cell r="B41" t="str">
            <v>CAMUS VERA ARIEL JESUS</v>
          </cell>
        </row>
        <row r="42">
          <cell r="A42" t="str">
            <v>21475887-3</v>
          </cell>
          <cell r="B42" t="str">
            <v>CANO HERRERA JAVIER PERSI</v>
          </cell>
        </row>
        <row r="43">
          <cell r="A43" t="str">
            <v>25371382-8</v>
          </cell>
          <cell r="B43" t="str">
            <v>CAPCHA MEZA ALEX GERMAN</v>
          </cell>
        </row>
        <row r="44">
          <cell r="A44" t="str">
            <v>22251178-K</v>
          </cell>
          <cell r="B44" t="str">
            <v>CARBAJAL CRUZADO VICTOR JESÚS</v>
          </cell>
        </row>
        <row r="45">
          <cell r="A45" t="str">
            <v>17144101-3</v>
          </cell>
          <cell r="B45" t="str">
            <v>CARDENAS SANCHEZ SEBASTIAN IGNACIO</v>
          </cell>
        </row>
        <row r="46">
          <cell r="A46" t="str">
            <v>22417238-9</v>
          </cell>
          <cell r="B46" t="str">
            <v>CARO CASTILLO JOAQUIN ALONSO</v>
          </cell>
        </row>
        <row r="47">
          <cell r="A47" t="str">
            <v>18726492-8</v>
          </cell>
          <cell r="B47" t="str">
            <v>CARO VILLASECA DAVID ANTONIO</v>
          </cell>
        </row>
        <row r="48">
          <cell r="A48" t="str">
            <v>22105181-5</v>
          </cell>
          <cell r="B48" t="str">
            <v>CARQUIN GUAJARDO NICOLAS IGNACIO</v>
          </cell>
        </row>
        <row r="49">
          <cell r="A49" t="str">
            <v>15193360-2</v>
          </cell>
          <cell r="B49" t="str">
            <v>CARRILLO PINEDA ABDON</v>
          </cell>
        </row>
        <row r="50">
          <cell r="A50" t="str">
            <v>22436849-6</v>
          </cell>
          <cell r="B50" t="str">
            <v>CARRION NORAMBUENA FERNANDO JOSE</v>
          </cell>
        </row>
        <row r="51">
          <cell r="A51" t="str">
            <v>9164465-7</v>
          </cell>
          <cell r="B51" t="str">
            <v>CARRIZO GONZALEZ LEONEL ALAMIRO</v>
          </cell>
        </row>
        <row r="52">
          <cell r="A52" t="str">
            <v>25196022-4</v>
          </cell>
          <cell r="B52" t="str">
            <v>CASTILLO CRUZ JUHNNIOR KONAL</v>
          </cell>
        </row>
        <row r="53">
          <cell r="A53" t="str">
            <v>18385040-7</v>
          </cell>
          <cell r="B53" t="str">
            <v>CASTILLO VERGARA CINDY MARLEN</v>
          </cell>
        </row>
        <row r="54">
          <cell r="A54" t="str">
            <v>12067835-3</v>
          </cell>
          <cell r="B54" t="str">
            <v>CASTRO CARRILLO HERNAN ENRIQUE</v>
          </cell>
        </row>
        <row r="55">
          <cell r="A55" t="str">
            <v>17150007-9</v>
          </cell>
          <cell r="B55" t="str">
            <v>COLIMAN RODRÍGUEZ FRANCISCO MANUEL</v>
          </cell>
        </row>
        <row r="56">
          <cell r="A56" t="str">
            <v>27390589-8</v>
          </cell>
          <cell r="B56" t="str">
            <v>CONDE CURI AGUSTIN</v>
          </cell>
        </row>
        <row r="57">
          <cell r="A57" t="str">
            <v>9382424-5</v>
          </cell>
          <cell r="B57" t="str">
            <v>CONTRERAS MUÑOZ MANUEL ANTONIO</v>
          </cell>
        </row>
        <row r="58">
          <cell r="A58" t="str">
            <v>19261269-1</v>
          </cell>
          <cell r="B58" t="str">
            <v>CONTRERAS PARADA SEBASTIAN ANTONIO</v>
          </cell>
        </row>
        <row r="59">
          <cell r="A59" t="str">
            <v>18773811-3</v>
          </cell>
          <cell r="B59" t="str">
            <v>CORREA ZAÑARTU GABRIEL JOSE</v>
          </cell>
        </row>
        <row r="60">
          <cell r="A60" t="str">
            <v>19562442-9</v>
          </cell>
          <cell r="B60" t="str">
            <v>CORTES CARMONA BASTIAN HERNAN</v>
          </cell>
        </row>
        <row r="61">
          <cell r="A61" t="str">
            <v>19706442-0</v>
          </cell>
          <cell r="B61" t="str">
            <v>CORTES MORENO AILIN AYEN</v>
          </cell>
        </row>
        <row r="62">
          <cell r="A62" t="str">
            <v>19246868-K</v>
          </cell>
          <cell r="B62" t="str">
            <v>CRUZ C GONZALO</v>
          </cell>
        </row>
        <row r="63">
          <cell r="A63" t="str">
            <v>19187203-7</v>
          </cell>
          <cell r="B63" t="str">
            <v>CRUZ GARCIA JORGE HERNAN</v>
          </cell>
        </row>
        <row r="64">
          <cell r="A64" t="str">
            <v>25630389-2</v>
          </cell>
          <cell r="B64" t="str">
            <v>DARIUS  JHONNY</v>
          </cell>
        </row>
        <row r="65">
          <cell r="A65" t="str">
            <v>25462196-K</v>
          </cell>
          <cell r="B65" t="str">
            <v>DE ANDRADE CARACO GERONIMO</v>
          </cell>
        </row>
        <row r="66">
          <cell r="A66" t="str">
            <v>14682203-7</v>
          </cell>
          <cell r="B66" t="str">
            <v>DE LA CRUZ PIMINCHUMO VICTOR MANUEL</v>
          </cell>
        </row>
        <row r="67">
          <cell r="A67" t="str">
            <v>22287046-1</v>
          </cell>
          <cell r="B67" t="str">
            <v>DE LA FUENTE AGUIRRE RICARDO ALEXIS</v>
          </cell>
        </row>
        <row r="68">
          <cell r="A68" t="str">
            <v>20130821-6</v>
          </cell>
          <cell r="B68" t="str">
            <v>DELGADO LABRA NICOLAS IGNACIO</v>
          </cell>
        </row>
        <row r="69">
          <cell r="A69" t="str">
            <v>13800757-K</v>
          </cell>
          <cell r="B69" t="str">
            <v>DIAZ GARRIDO GUILLERMO ANTONIO</v>
          </cell>
        </row>
        <row r="70">
          <cell r="A70" t="str">
            <v>25469183-6</v>
          </cell>
          <cell r="B70" t="str">
            <v>DOMINGUEZ GUERRERO CARLOS ALBERTO</v>
          </cell>
        </row>
        <row r="71">
          <cell r="A71" t="str">
            <v>18127633-9</v>
          </cell>
          <cell r="B71" t="str">
            <v>DURAN IRARRÁZABAL MIGUEL ANGEL</v>
          </cell>
        </row>
        <row r="72">
          <cell r="A72" t="str">
            <v>13840721-7</v>
          </cell>
          <cell r="B72" t="str">
            <v>ECHEVERRIA CARTAGENA OCTAVIO ALEJANDRO</v>
          </cell>
        </row>
        <row r="73">
          <cell r="A73" t="str">
            <v>19806498-K</v>
          </cell>
          <cell r="B73" t="str">
            <v>ELGUETA GONZALEZ PABLO IGNACIO</v>
          </cell>
        </row>
        <row r="74">
          <cell r="A74" t="str">
            <v>21393356-6</v>
          </cell>
          <cell r="B74" t="str">
            <v>ESCALONA ANGULO DEMIS EDUARDO</v>
          </cell>
        </row>
        <row r="75">
          <cell r="A75" t="str">
            <v>10168667-1</v>
          </cell>
          <cell r="B75" t="str">
            <v>ESCALONA FARIAS JUAN CARLOS</v>
          </cell>
        </row>
        <row r="76">
          <cell r="A76" t="str">
            <v>19818673-2</v>
          </cell>
          <cell r="B76" t="str">
            <v>ESCALONA MALDONADO WILLIAMS TOMAS</v>
          </cell>
        </row>
        <row r="77">
          <cell r="A77" t="str">
            <v>24215133-K</v>
          </cell>
          <cell r="B77" t="str">
            <v>ESCOBAR  FERNANDO</v>
          </cell>
        </row>
        <row r="78">
          <cell r="A78" t="str">
            <v>16720388-4</v>
          </cell>
          <cell r="B78" t="str">
            <v>ESCUDERO YAÑEZ CESAR ALBERTO</v>
          </cell>
        </row>
        <row r="79">
          <cell r="A79" t="str">
            <v>14585756-2</v>
          </cell>
          <cell r="B79" t="str">
            <v>ESPINOZA ARENAS ALEJANDRO ENRIQUE</v>
          </cell>
        </row>
        <row r="80">
          <cell r="A80" t="str">
            <v>17182236-K</v>
          </cell>
          <cell r="B80" t="str">
            <v>ESPINOZA CHANDIA DAVID ALBERTO</v>
          </cell>
        </row>
        <row r="81">
          <cell r="A81" t="str">
            <v>14697988-2</v>
          </cell>
          <cell r="B81" t="str">
            <v>FAJARDO CANO WILLIAM LEONARDO</v>
          </cell>
        </row>
        <row r="82">
          <cell r="A82" t="str">
            <v>9487471-8</v>
          </cell>
          <cell r="B82" t="str">
            <v>FLORES SAAVEDRA JOSE ALBERTO</v>
          </cell>
        </row>
        <row r="83">
          <cell r="A83" t="str">
            <v>9481561-4</v>
          </cell>
          <cell r="B83" t="str">
            <v>FLORES VIDAL FRANCISCO RODRIGO</v>
          </cell>
        </row>
        <row r="84">
          <cell r="A84" t="str">
            <v>18983056-4</v>
          </cell>
          <cell r="B84" t="str">
            <v>FREIRE SAN MARTIN ERNESTO ALFONSO</v>
          </cell>
        </row>
        <row r="85">
          <cell r="A85" t="str">
            <v>16930362-2</v>
          </cell>
          <cell r="B85" t="str">
            <v>FUENTES CAVIERES NIZA VALESKA</v>
          </cell>
        </row>
        <row r="86">
          <cell r="A86" t="str">
            <v>17532793-2</v>
          </cell>
          <cell r="B86" t="str">
            <v>GALINDO MARRIAN JONATHAN ELIAS</v>
          </cell>
        </row>
        <row r="87">
          <cell r="A87" t="str">
            <v>12788862-0</v>
          </cell>
          <cell r="B87" t="str">
            <v>GAMBOA YAÑEZ LUIS ALEJANDRO</v>
          </cell>
        </row>
        <row r="88">
          <cell r="A88" t="str">
            <v>19933110-8</v>
          </cell>
          <cell r="B88" t="str">
            <v>GANZ LUCERO MELLANY JAVIERA</v>
          </cell>
        </row>
        <row r="89">
          <cell r="A89" t="str">
            <v>15819718-9</v>
          </cell>
          <cell r="B89" t="str">
            <v>GARCIA GARCIA NAYARET CATHERINNE</v>
          </cell>
        </row>
        <row r="90">
          <cell r="A90" t="str">
            <v>19055404-K</v>
          </cell>
          <cell r="B90" t="str">
            <v>GOMEZ AGUIRRE ULISES OSVALDO</v>
          </cell>
        </row>
        <row r="91">
          <cell r="A91" t="str">
            <v>24806579-6</v>
          </cell>
          <cell r="B91" t="str">
            <v>GOMEZ GUEVARA JAVIER ALEXANDER</v>
          </cell>
        </row>
        <row r="92">
          <cell r="A92" t="str">
            <v>18360401-5</v>
          </cell>
          <cell r="B92" t="str">
            <v>GONZALEZ ESPINOSA CAMILO IGNACIO</v>
          </cell>
        </row>
        <row r="93">
          <cell r="A93" t="str">
            <v>15728342-1</v>
          </cell>
          <cell r="B93" t="str">
            <v>GONZALEZ LEON ANGEL EDUARDO</v>
          </cell>
        </row>
        <row r="94">
          <cell r="A94" t="str">
            <v>25947499-K</v>
          </cell>
          <cell r="B94" t="str">
            <v>GONZALEZ MURILLO CARLOS MARIO</v>
          </cell>
        </row>
        <row r="95">
          <cell r="A95" t="str">
            <v>23933706-6</v>
          </cell>
          <cell r="B95" t="str">
            <v>GONZALEZ POBLETE JOSE LUIS ALBERTO</v>
          </cell>
        </row>
        <row r="96">
          <cell r="A96" t="str">
            <v>27195140-K</v>
          </cell>
          <cell r="B96" t="str">
            <v>GOYOS MADRIZ MARÍA FERNANDA</v>
          </cell>
        </row>
        <row r="97">
          <cell r="A97" t="str">
            <v>24603138-K</v>
          </cell>
          <cell r="B97" t="str">
            <v>GUEVARA GARCIA JOHN ALEJANDRO</v>
          </cell>
        </row>
        <row r="98">
          <cell r="A98" t="str">
            <v>25783368-2</v>
          </cell>
          <cell r="B98" t="str">
            <v>GUTIERREZ PEREZ STHEFANY LISSETH</v>
          </cell>
        </row>
        <row r="99">
          <cell r="A99" t="str">
            <v>20099812-K</v>
          </cell>
          <cell r="B99" t="str">
            <v>GUZMAN MARTINEZ ANDRES FAVIAN</v>
          </cell>
        </row>
        <row r="100">
          <cell r="A100" t="str">
            <v>19168743-4</v>
          </cell>
          <cell r="B100" t="str">
            <v>HERNANDEZ FUENTES CAMILA ANDREA</v>
          </cell>
        </row>
        <row r="101">
          <cell r="A101" t="str">
            <v>18379672-0</v>
          </cell>
          <cell r="B101" t="str">
            <v>HERNANDEZ SANHUEZA ERNESTO JOSE MANUEL</v>
          </cell>
        </row>
        <row r="102">
          <cell r="A102" t="str">
            <v>15686018-2</v>
          </cell>
          <cell r="B102" t="str">
            <v>HERRERA ASTETE EDWIN MAURICIO</v>
          </cell>
        </row>
        <row r="103">
          <cell r="A103" t="str">
            <v>18603773-1</v>
          </cell>
          <cell r="B103" t="str">
            <v>HERRERA ZAMBRANO CRISTOPHER IGNACIO</v>
          </cell>
        </row>
        <row r="104">
          <cell r="A104" t="str">
            <v>20668601-4</v>
          </cell>
          <cell r="B104" t="str">
            <v>HERVE MUÑOZ FELIPE ANTONIO</v>
          </cell>
        </row>
        <row r="105">
          <cell r="A105" t="str">
            <v>24429581-9</v>
          </cell>
          <cell r="B105" t="str">
            <v>HICKEL  ANDRES SANTIAGO</v>
          </cell>
        </row>
        <row r="106">
          <cell r="A106" t="str">
            <v>27395206-3</v>
          </cell>
          <cell r="B106" t="str">
            <v>HUACARPUMA LIMA ROLY</v>
          </cell>
        </row>
        <row r="107">
          <cell r="A107" t="str">
            <v>17110641-9</v>
          </cell>
          <cell r="B107" t="str">
            <v>IRARRAZABAL VILLANUEVA ARIEL JESUS</v>
          </cell>
        </row>
        <row r="108">
          <cell r="A108" t="str">
            <v>17757721-9</v>
          </cell>
          <cell r="B108" t="str">
            <v>JARA BRAVO CARLOS MANUEL</v>
          </cell>
        </row>
        <row r="109">
          <cell r="A109" t="str">
            <v>24028328-K</v>
          </cell>
          <cell r="B109" t="str">
            <v>JARAMILLO CELIS JIMMY JAVIER</v>
          </cell>
        </row>
        <row r="110">
          <cell r="A110" t="str">
            <v>21022465-3</v>
          </cell>
          <cell r="B110" t="str">
            <v>JARAMILLO TORRES BENJAMIN OBET</v>
          </cell>
        </row>
        <row r="111">
          <cell r="A111" t="str">
            <v>19847367-7</v>
          </cell>
          <cell r="B111" t="str">
            <v>LABRA DIAZ EMILIO JOSE</v>
          </cell>
        </row>
        <row r="112">
          <cell r="A112" t="str">
            <v>14419994-4</v>
          </cell>
          <cell r="B112" t="str">
            <v>LAGIES RAPP TATIANA MONICA</v>
          </cell>
        </row>
        <row r="113">
          <cell r="A113" t="str">
            <v>16986485-3</v>
          </cell>
          <cell r="B113" t="str">
            <v>LAGOS BRAVO IVAN ANDRES</v>
          </cell>
        </row>
        <row r="114">
          <cell r="A114" t="str">
            <v>19918837-2</v>
          </cell>
          <cell r="B114" t="str">
            <v>LAGOS MARTINEZ FABIAN ALEJANDRO</v>
          </cell>
        </row>
        <row r="115">
          <cell r="A115" t="str">
            <v>16147722-2</v>
          </cell>
          <cell r="B115" t="str">
            <v>LAGOS PRIETO CRISTIAN ANDRES</v>
          </cell>
        </row>
        <row r="116">
          <cell r="A116" t="str">
            <v>17601089-4</v>
          </cell>
          <cell r="B116" t="str">
            <v>LAMA LANDETA IGNACIO SEBASTIAN</v>
          </cell>
        </row>
        <row r="117">
          <cell r="A117" t="str">
            <v>17620879-1</v>
          </cell>
          <cell r="B117" t="str">
            <v>LAPLECHADE ORREGO FRANCISCO JAVIER</v>
          </cell>
        </row>
        <row r="118">
          <cell r="A118" t="str">
            <v>10141211-3</v>
          </cell>
          <cell r="B118" t="str">
            <v>LEIVA LOPEZ ALLAN HARRY</v>
          </cell>
        </row>
        <row r="119">
          <cell r="A119" t="str">
            <v>25322034-1</v>
          </cell>
          <cell r="B119" t="str">
            <v>LEON LEON JEAN MARIE</v>
          </cell>
        </row>
        <row r="120">
          <cell r="A120" t="str">
            <v>19304186-8</v>
          </cell>
          <cell r="B120" t="str">
            <v>LLANCAQUEO LLANCAQUEO SEBASTIAN ANTONIO</v>
          </cell>
        </row>
        <row r="121">
          <cell r="A121" t="str">
            <v>12704471-6</v>
          </cell>
          <cell r="B121" t="str">
            <v>LLANO RODRIGUEZ LUIS ALEXIS</v>
          </cell>
        </row>
        <row r="122">
          <cell r="A122" t="str">
            <v>8647176-0</v>
          </cell>
          <cell r="B122" t="str">
            <v>LUDERS MUÑOZ SEBASTIAN ANDRES</v>
          </cell>
        </row>
        <row r="123">
          <cell r="A123" t="str">
            <v>10706340-4</v>
          </cell>
          <cell r="B123" t="str">
            <v>LUENGO TORRES ROBERTO CARLOS</v>
          </cell>
        </row>
        <row r="124">
          <cell r="A124" t="str">
            <v>18663499-3</v>
          </cell>
          <cell r="B124" t="str">
            <v>MALDONADO PEREZ OSCAR EDUARDO</v>
          </cell>
        </row>
        <row r="125">
          <cell r="A125" t="str">
            <v>26061733-8</v>
          </cell>
          <cell r="B125" t="str">
            <v>MANRIQUE GARCIA JEFFERSON</v>
          </cell>
        </row>
        <row r="126">
          <cell r="A126" t="str">
            <v>15287012-4</v>
          </cell>
          <cell r="B126" t="str">
            <v>MANSILLA BARRIENTOS MARCIA DOLENA</v>
          </cell>
        </row>
        <row r="127">
          <cell r="A127" t="str">
            <v>18276445-0</v>
          </cell>
          <cell r="B127" t="str">
            <v>MARAMBIO PESCHKE GABRIEL ENRIQUE</v>
          </cell>
        </row>
        <row r="128">
          <cell r="A128" t="str">
            <v>21254167-2</v>
          </cell>
          <cell r="B128" t="str">
            <v>MARTINEZ CONEJEROS BRYAN ALEJANDRO</v>
          </cell>
        </row>
        <row r="129">
          <cell r="A129" t="str">
            <v>19001512-2</v>
          </cell>
          <cell r="B129" t="str">
            <v>MAUREIRA MENDOZA PABLO DAMIAN</v>
          </cell>
        </row>
        <row r="130">
          <cell r="A130" t="str">
            <v>10100750-2</v>
          </cell>
          <cell r="B130" t="str">
            <v>MAUREIRA PAZ DARIO ANTONIO</v>
          </cell>
        </row>
        <row r="131">
          <cell r="A131" t="str">
            <v>14505469-9</v>
          </cell>
          <cell r="B131" t="str">
            <v>MELIN MILLACURA CARLOS ANIBAL</v>
          </cell>
        </row>
        <row r="132">
          <cell r="A132" t="str">
            <v>22013560-8</v>
          </cell>
          <cell r="B132" t="str">
            <v>MENA GOMEZ RODRIGO ANDRES</v>
          </cell>
        </row>
        <row r="133">
          <cell r="A133" t="str">
            <v>25664618-8</v>
          </cell>
          <cell r="B133" t="str">
            <v>MENDEZ ANDRADE SANDI JOSE</v>
          </cell>
        </row>
        <row r="134">
          <cell r="A134" t="str">
            <v>25057090-2</v>
          </cell>
          <cell r="B134" t="str">
            <v>MENDEZ LARA KRISTOPHER ALEXANDER</v>
          </cell>
        </row>
        <row r="135">
          <cell r="A135" t="str">
            <v>15234535-6</v>
          </cell>
          <cell r="B135" t="str">
            <v>MENDEZ MANRIQUEZ GERARDO IVAN</v>
          </cell>
        </row>
        <row r="136">
          <cell r="A136" t="str">
            <v>19345945-5</v>
          </cell>
          <cell r="B136" t="str">
            <v>MENDEZ MENA LUIS SALOMON</v>
          </cell>
        </row>
        <row r="137">
          <cell r="A137" t="str">
            <v>16896141-3</v>
          </cell>
          <cell r="B137" t="str">
            <v>MENDEZ NEIRA FRANCISCO JAVIER</v>
          </cell>
        </row>
        <row r="138">
          <cell r="A138" t="str">
            <v>10556460-0</v>
          </cell>
          <cell r="B138" t="str">
            <v>MENDEZ VASQUEZ LUIS ARMANDO</v>
          </cell>
        </row>
        <row r="139">
          <cell r="A139" t="str">
            <v>26821985-4</v>
          </cell>
          <cell r="B139" t="str">
            <v>MENDO SAUCEDO JORGE LUIS</v>
          </cell>
        </row>
        <row r="140">
          <cell r="A140" t="str">
            <v>19316678-4</v>
          </cell>
          <cell r="B140" t="str">
            <v>MILLAHUINCA LEVICAN JENNIFER ALEJANDRA</v>
          </cell>
        </row>
        <row r="141">
          <cell r="A141" t="str">
            <v>20219329-3</v>
          </cell>
          <cell r="B141" t="str">
            <v>MOLINA PAREDES FELIPE IGNACIO</v>
          </cell>
        </row>
        <row r="142">
          <cell r="A142" t="str">
            <v>20048416-9</v>
          </cell>
          <cell r="B142" t="str">
            <v>MOLINA ZUNIGA BENJAMIN ANDRES</v>
          </cell>
        </row>
        <row r="143">
          <cell r="A143" t="str">
            <v>27322835-7</v>
          </cell>
          <cell r="B143" t="str">
            <v>MONJES PERAZA CHARLIS DANIEL</v>
          </cell>
        </row>
        <row r="144">
          <cell r="A144" t="str">
            <v>17770596-9</v>
          </cell>
          <cell r="B144" t="str">
            <v>MORA MENESES JUAN PABLO</v>
          </cell>
        </row>
        <row r="145">
          <cell r="A145" t="str">
            <v>17003790-1</v>
          </cell>
          <cell r="B145" t="str">
            <v>MORA MORA FELIPE IGNACIO</v>
          </cell>
        </row>
        <row r="146">
          <cell r="A146" t="str">
            <v>9892652-6</v>
          </cell>
          <cell r="B146" t="str">
            <v>MORALES JORQUERA LUIS EDUARDO</v>
          </cell>
        </row>
        <row r="147">
          <cell r="A147" t="str">
            <v>20413573-8</v>
          </cell>
          <cell r="B147" t="str">
            <v>MORALES VIVANCO ROSALINO ANTONIO</v>
          </cell>
        </row>
        <row r="148">
          <cell r="A148" t="str">
            <v>21993393-2</v>
          </cell>
          <cell r="B148" t="str">
            <v>MOSTACERO BANCES WILSON LEO</v>
          </cell>
        </row>
        <row r="149">
          <cell r="A149" t="str">
            <v>21081008-0</v>
          </cell>
          <cell r="B149" t="str">
            <v>MUÑOZ HUERTA DIEGO ALEJANDRO</v>
          </cell>
        </row>
        <row r="150">
          <cell r="A150" t="str">
            <v>13460815-3</v>
          </cell>
          <cell r="B150" t="str">
            <v>MUÑOZ MUÑOZ RODOLFO IVAN</v>
          </cell>
        </row>
        <row r="151">
          <cell r="A151" t="str">
            <v>19226122-8</v>
          </cell>
          <cell r="B151" t="str">
            <v>MUÑOZ PACHECO CRISTOBAL OCTAVIO</v>
          </cell>
        </row>
        <row r="152">
          <cell r="A152" t="str">
            <v>19280241-5</v>
          </cell>
          <cell r="B152" t="str">
            <v>NEGRON BUSTOS MIGUEL ANGEL</v>
          </cell>
        </row>
        <row r="153">
          <cell r="A153" t="str">
            <v>14555231-1</v>
          </cell>
          <cell r="B153" t="str">
            <v>OLIVARES URZUA CARLOS ANDRES</v>
          </cell>
        </row>
        <row r="154">
          <cell r="A154" t="str">
            <v>20374661-K</v>
          </cell>
          <cell r="B154" t="str">
            <v>OÑATE AEDO JACOB NICOLAS ELISEO</v>
          </cell>
        </row>
        <row r="155">
          <cell r="A155" t="str">
            <v>21106262-2</v>
          </cell>
          <cell r="B155" t="str">
            <v>ORREGO MORENO DENISE JENNIFER</v>
          </cell>
        </row>
        <row r="156">
          <cell r="A156" t="str">
            <v>8782195-1</v>
          </cell>
          <cell r="B156" t="str">
            <v>ORTIZ GONZALEZ ANGEL ERIC</v>
          </cell>
        </row>
        <row r="157">
          <cell r="A157" t="str">
            <v>10281436-3</v>
          </cell>
          <cell r="B157" t="str">
            <v>ORTIZ MUÑOZ DAVID ALFONSO</v>
          </cell>
        </row>
        <row r="158">
          <cell r="A158" t="str">
            <v>17261853-7</v>
          </cell>
          <cell r="B158" t="str">
            <v>OSES RÍOS GUILLERMO EMILIO</v>
          </cell>
        </row>
        <row r="159">
          <cell r="A159" t="str">
            <v>16148907-7</v>
          </cell>
          <cell r="B159" t="str">
            <v>OYARZUN GALLARDO RONALD ANDRES</v>
          </cell>
        </row>
        <row r="160">
          <cell r="A160" t="str">
            <v>18121724-3</v>
          </cell>
          <cell r="B160" t="str">
            <v>PALACIOS PERALTA PABLO ANDRES</v>
          </cell>
        </row>
        <row r="161">
          <cell r="A161" t="str">
            <v>25953876-9</v>
          </cell>
          <cell r="B161" t="str">
            <v>PARRA ROMERO LUIS JAVIER</v>
          </cell>
        </row>
        <row r="162">
          <cell r="A162" t="str">
            <v>17426727-8</v>
          </cell>
          <cell r="B162" t="str">
            <v>PERALTA ESPINOZA GILBERTO IVAN</v>
          </cell>
        </row>
        <row r="163">
          <cell r="A163" t="str">
            <v>19742965-8</v>
          </cell>
          <cell r="B163" t="str">
            <v>PEREZ OJEDA BASTIAN DE JESUS</v>
          </cell>
        </row>
        <row r="164">
          <cell r="A164" t="str">
            <v>19684427-9</v>
          </cell>
          <cell r="B164" t="str">
            <v>PEREZ SOTO ANDREW BRYAN</v>
          </cell>
        </row>
        <row r="165">
          <cell r="A165" t="str">
            <v>27470623-6</v>
          </cell>
          <cell r="B165" t="str">
            <v>PIN ALVARADO ANDRES ANGEL</v>
          </cell>
        </row>
        <row r="166">
          <cell r="A166" t="str">
            <v>17732407-8</v>
          </cell>
          <cell r="B166" t="str">
            <v>PINO CRUZ RENZO GIOVANNI</v>
          </cell>
        </row>
        <row r="167">
          <cell r="A167" t="str">
            <v>19565261-9</v>
          </cell>
          <cell r="B167" t="str">
            <v>PINO PULGAR KEVIN ANDRES</v>
          </cell>
        </row>
        <row r="168">
          <cell r="A168" t="str">
            <v>11553701-6</v>
          </cell>
          <cell r="B168" t="str">
            <v>PINTO GALVEZ JUAN RAFAEL</v>
          </cell>
        </row>
        <row r="169">
          <cell r="A169" t="str">
            <v>10736500-1</v>
          </cell>
          <cell r="B169" t="str">
            <v>PINTO RUBIO PATRICIO ENRIQUE</v>
          </cell>
        </row>
        <row r="170">
          <cell r="A170" t="str">
            <v>20383468-3</v>
          </cell>
          <cell r="B170" t="str">
            <v>PIÑA RONDA ALAN</v>
          </cell>
        </row>
        <row r="171">
          <cell r="A171" t="str">
            <v>19069111-K</v>
          </cell>
          <cell r="B171" t="str">
            <v>PIÑA RONDA JOHAN ABEL</v>
          </cell>
        </row>
        <row r="172">
          <cell r="A172" t="str">
            <v>18984751-3</v>
          </cell>
          <cell r="B172" t="str">
            <v>PIZARRO RAMIREZ IGNACIO ANDRES</v>
          </cell>
        </row>
        <row r="173">
          <cell r="A173" t="str">
            <v>16920656-2</v>
          </cell>
          <cell r="B173" t="str">
            <v>QUEVEDO NARVAEZ DIEGO ALEJANDRO</v>
          </cell>
        </row>
        <row r="174">
          <cell r="A174" t="str">
            <v>15361004-5</v>
          </cell>
          <cell r="B174" t="str">
            <v>QUEZADA BRAVO ALEX JONATHAN</v>
          </cell>
        </row>
        <row r="175">
          <cell r="A175" t="str">
            <v>18670610-2</v>
          </cell>
          <cell r="B175" t="str">
            <v>QUIJADA MARIN FELIPE IGNACIO</v>
          </cell>
        </row>
        <row r="176">
          <cell r="A176" t="str">
            <v>19709344-7</v>
          </cell>
          <cell r="B176" t="str">
            <v>QUIJADA VILLALON MIGUEL ANGEL</v>
          </cell>
        </row>
        <row r="177">
          <cell r="A177" t="str">
            <v>22829666-K</v>
          </cell>
          <cell r="B177" t="str">
            <v>QUINTERO ARROYO EDGAR FABRICIO</v>
          </cell>
        </row>
        <row r="178">
          <cell r="A178" t="str">
            <v>14625044-0</v>
          </cell>
          <cell r="B178" t="str">
            <v>RAMIREZ ALARCON JARO</v>
          </cell>
        </row>
        <row r="179">
          <cell r="A179" t="str">
            <v>15136310-5</v>
          </cell>
          <cell r="B179" t="str">
            <v>RAMOS CABEZAS RODRIGO ANDRES</v>
          </cell>
        </row>
        <row r="180">
          <cell r="A180" t="str">
            <v>26983276-2</v>
          </cell>
          <cell r="B180" t="str">
            <v>RAMOS RODRIGUEZ JAIVER GABRIEL</v>
          </cell>
        </row>
        <row r="181">
          <cell r="A181" t="str">
            <v>16979414-6</v>
          </cell>
          <cell r="B181" t="str">
            <v>RAMOS YAÑEZ LISANDRO YANS</v>
          </cell>
        </row>
        <row r="182">
          <cell r="A182" t="str">
            <v>18697014-4</v>
          </cell>
          <cell r="B182" t="str">
            <v>REBOLLEDO TREJOS NICOLAS ALEJANDRO</v>
          </cell>
        </row>
        <row r="183">
          <cell r="A183" t="str">
            <v>17064952-4</v>
          </cell>
          <cell r="B183" t="str">
            <v>REBOLLEDO VERA FABIAN ESTEBAN</v>
          </cell>
        </row>
        <row r="184">
          <cell r="A184" t="str">
            <v>18191670-2</v>
          </cell>
          <cell r="B184" t="str">
            <v>RETAMAL SALAS EMANUEL EDUARDO</v>
          </cell>
        </row>
        <row r="185">
          <cell r="A185" t="str">
            <v>19796694-7</v>
          </cell>
          <cell r="B185" t="str">
            <v>RIQUELME GARAY ESTEBAN DARIO</v>
          </cell>
        </row>
        <row r="186">
          <cell r="A186" t="str">
            <v>19021465-6</v>
          </cell>
          <cell r="B186" t="str">
            <v>RIQUELME GONZALEZ GENESIS PAULINA</v>
          </cell>
        </row>
        <row r="187">
          <cell r="A187" t="str">
            <v>17101557-K</v>
          </cell>
          <cell r="B187" t="str">
            <v>RIQUELME MATUS DE LA PARRA PABLO IGNACIO</v>
          </cell>
        </row>
        <row r="188">
          <cell r="A188" t="str">
            <v>16791082-3</v>
          </cell>
          <cell r="B188" t="str">
            <v>ROBLES ANTIVILO EXEQUIEL NAZARET</v>
          </cell>
        </row>
        <row r="189">
          <cell r="A189" t="str">
            <v>19886666-0</v>
          </cell>
          <cell r="B189" t="str">
            <v>ROJAS BUCAREY ALEXANDER ADRIAN</v>
          </cell>
        </row>
        <row r="190">
          <cell r="A190" t="str">
            <v>18609626-6</v>
          </cell>
          <cell r="B190" t="str">
            <v>ROJAS MORALES HUMBERTO DAVID</v>
          </cell>
        </row>
        <row r="191">
          <cell r="A191" t="str">
            <v>19965552-3</v>
          </cell>
          <cell r="B191" t="str">
            <v>ROJAS PONCE ALDO NICOLAS</v>
          </cell>
        </row>
        <row r="192">
          <cell r="A192" t="str">
            <v>19125103-2</v>
          </cell>
          <cell r="B192" t="str">
            <v>ROJAS TIRADO JOSE IGNACIO</v>
          </cell>
        </row>
        <row r="193">
          <cell r="A193" t="str">
            <v>16003366-5</v>
          </cell>
          <cell r="B193" t="str">
            <v>ROJAS URRUTIA ERIC JOCSAN</v>
          </cell>
        </row>
        <row r="194">
          <cell r="A194" t="str">
            <v>21318009-6</v>
          </cell>
          <cell r="B194" t="str">
            <v>ROMERO PEREZ EMERSON</v>
          </cell>
        </row>
        <row r="195">
          <cell r="A195" t="str">
            <v>25173871-8</v>
          </cell>
          <cell r="B195" t="str">
            <v>RUBIO VARAS SANTOS FELIPE</v>
          </cell>
        </row>
        <row r="196">
          <cell r="A196" t="str">
            <v>21200182-1</v>
          </cell>
          <cell r="B196" t="str">
            <v>RUIZ ORBEGOZO JORGE LUIS</v>
          </cell>
        </row>
        <row r="197">
          <cell r="A197" t="str">
            <v>22170881-4</v>
          </cell>
          <cell r="B197" t="str">
            <v>RUIZ REYEZ MAXIMILIANO BENJAMIN</v>
          </cell>
        </row>
        <row r="198">
          <cell r="A198" t="str">
            <v>11790980-8</v>
          </cell>
          <cell r="B198" t="str">
            <v>SAAVEDRA SANDOVAL ALEX GONZALO</v>
          </cell>
        </row>
        <row r="199">
          <cell r="A199" t="str">
            <v>20684166-4</v>
          </cell>
          <cell r="B199" t="str">
            <v>SALAMANCA PEREZ ANGEL ANTONIO</v>
          </cell>
        </row>
        <row r="200">
          <cell r="A200" t="str">
            <v>15722772-6</v>
          </cell>
          <cell r="B200" t="str">
            <v>SALAS BECERRA OSCAR ALBERTO</v>
          </cell>
        </row>
        <row r="201">
          <cell r="A201" t="str">
            <v>8456853-8</v>
          </cell>
          <cell r="B201" t="str">
            <v>SALAZAR GUZMAN ALICIA XIMENA</v>
          </cell>
        </row>
        <row r="202">
          <cell r="A202" t="str">
            <v>19748427-6</v>
          </cell>
          <cell r="B202" t="str">
            <v>SALAZAR MUÑOZ SEBASTIAN IGNACIO</v>
          </cell>
        </row>
        <row r="203">
          <cell r="A203" t="str">
            <v>18414637-1</v>
          </cell>
          <cell r="B203" t="str">
            <v>SANHUEZA BARRA JORDAN ESTEBAN</v>
          </cell>
        </row>
        <row r="204">
          <cell r="A204" t="str">
            <v>19162455-6</v>
          </cell>
          <cell r="B204" t="str">
            <v>SEGUEL ALVAREZ JUAN CARLOS</v>
          </cell>
        </row>
        <row r="205">
          <cell r="A205" t="str">
            <v>19037949-3</v>
          </cell>
          <cell r="B205" t="str">
            <v>SEPULVEDA ESPINOZA FRANCO ADONIS</v>
          </cell>
        </row>
        <row r="206">
          <cell r="A206" t="str">
            <v>10000806-8</v>
          </cell>
          <cell r="B206" t="str">
            <v>SEPULVEDA GONZALEZ NELSON JOHN</v>
          </cell>
        </row>
        <row r="207">
          <cell r="A207" t="str">
            <v>10590966-7</v>
          </cell>
          <cell r="B207" t="str">
            <v>SEPULVEDA MELLA ROBERT FRANZ</v>
          </cell>
        </row>
        <row r="208">
          <cell r="A208" t="str">
            <v>14202522-1</v>
          </cell>
          <cell r="B208" t="str">
            <v>SILVA DIAZ RODRIGO HUMBERTO</v>
          </cell>
        </row>
        <row r="209">
          <cell r="A209" t="str">
            <v>14195801-1</v>
          </cell>
          <cell r="B209" t="str">
            <v>SOLIS BARRIA RODRIGO IVAN</v>
          </cell>
        </row>
        <row r="210">
          <cell r="A210" t="str">
            <v>21970536-0</v>
          </cell>
          <cell r="B210" t="str">
            <v>SOLORZANO TAMARA YOSELINE YSABEL</v>
          </cell>
        </row>
        <row r="211">
          <cell r="A211" t="str">
            <v>14345295-6</v>
          </cell>
          <cell r="B211" t="str">
            <v>SOTO CARDENAS ORLANDO HENRIQUE</v>
          </cell>
        </row>
        <row r="212">
          <cell r="A212" t="str">
            <v>18977190-8</v>
          </cell>
          <cell r="B212" t="str">
            <v>SOTO GONZALEZ FRANCISCO ORLANDO</v>
          </cell>
        </row>
        <row r="213">
          <cell r="A213" t="str">
            <v>18862670-K</v>
          </cell>
          <cell r="B213" t="str">
            <v>SOTO MONDACA CLAUDIO FERNANDO</v>
          </cell>
        </row>
        <row r="214">
          <cell r="A214" t="str">
            <v>17738525-5</v>
          </cell>
          <cell r="B214" t="str">
            <v>SOTO REUMANTE CHRISTIAN ALEXIS</v>
          </cell>
        </row>
        <row r="215">
          <cell r="A215" t="str">
            <v>19388180-7</v>
          </cell>
          <cell r="B215" t="str">
            <v>TAPIA ZALAZAR CALEB ANDRES</v>
          </cell>
        </row>
        <row r="216">
          <cell r="A216" t="str">
            <v>26171464-7</v>
          </cell>
          <cell r="B216" t="str">
            <v>TEJADA GRANADA CRISTIAN SOLANO</v>
          </cell>
        </row>
        <row r="217">
          <cell r="A217" t="str">
            <v>16798879-2</v>
          </cell>
          <cell r="B217" t="str">
            <v>TELLO BELTRAN PABLO ANTONIO</v>
          </cell>
        </row>
        <row r="218">
          <cell r="A218" t="str">
            <v>16293796-0</v>
          </cell>
          <cell r="B218" t="str">
            <v>TOLOZA ALBORNOZ MARIO ADOLFO</v>
          </cell>
        </row>
        <row r="219">
          <cell r="A219" t="str">
            <v>13238091-0</v>
          </cell>
          <cell r="B219" t="str">
            <v>TORO RUBILAR CLAUDIO CESAR</v>
          </cell>
        </row>
        <row r="220">
          <cell r="A220" t="str">
            <v>10391800-6</v>
          </cell>
          <cell r="B220" t="str">
            <v>VALDES SEPULVEDA JAVIER ABDON</v>
          </cell>
        </row>
        <row r="221">
          <cell r="A221" t="str">
            <v>12964151-7</v>
          </cell>
          <cell r="B221" t="str">
            <v>VALDES VALDES VICTOR MANUEL</v>
          </cell>
        </row>
        <row r="222">
          <cell r="A222" t="str">
            <v>15186543-7</v>
          </cell>
          <cell r="B222" t="str">
            <v>VALENZUELA ACUÑA FELIPE ANDRES</v>
          </cell>
        </row>
        <row r="223">
          <cell r="A223" t="str">
            <v>21739451-1</v>
          </cell>
          <cell r="B223" t="str">
            <v>VALENZUELA CASTILLO SERGIO FELIPE</v>
          </cell>
        </row>
        <row r="224">
          <cell r="A224" t="str">
            <v>26263619-4</v>
          </cell>
          <cell r="B224" t="str">
            <v>VANGI GUZMAN DINO NICOLA DE JESUS</v>
          </cell>
        </row>
        <row r="225">
          <cell r="A225" t="str">
            <v>19837925-5</v>
          </cell>
          <cell r="B225" t="str">
            <v>VASQUEZ NEIRA MARTIN FRANCISCO</v>
          </cell>
        </row>
        <row r="226">
          <cell r="A226" t="str">
            <v>26682304-5</v>
          </cell>
          <cell r="B226" t="str">
            <v>VEGA ESTRADA JUAN FELIX</v>
          </cell>
        </row>
        <row r="227">
          <cell r="A227" t="str">
            <v>16978205-9</v>
          </cell>
          <cell r="B227" t="str">
            <v>VELASQUEZ VASQUEZ JACOB ARCADIO</v>
          </cell>
        </row>
        <row r="228">
          <cell r="A228" t="str">
            <v>10989592-K</v>
          </cell>
          <cell r="B228" t="str">
            <v>VERA ARAVENA DAVID ULISES</v>
          </cell>
        </row>
        <row r="229">
          <cell r="A229" t="str">
            <v>20059508-4</v>
          </cell>
          <cell r="B229" t="str">
            <v>VERGARA ALBORNOZ KAREN MARCELA</v>
          </cell>
        </row>
        <row r="230">
          <cell r="A230" t="str">
            <v>20552867-9</v>
          </cell>
          <cell r="B230" t="str">
            <v>VICENCIO CATRIPAN HECTOR ENRIQUE</v>
          </cell>
        </row>
        <row r="231">
          <cell r="A231" t="str">
            <v>15720416-5</v>
          </cell>
          <cell r="B231" t="str">
            <v>VILA ARAVENA JOSE MIGUEL</v>
          </cell>
        </row>
        <row r="232">
          <cell r="A232" t="str">
            <v>13860310-5</v>
          </cell>
          <cell r="B232" t="str">
            <v>VILLABLANCA TORRES DAVID ANGELO</v>
          </cell>
        </row>
        <row r="233">
          <cell r="A233" t="str">
            <v>19171156-4</v>
          </cell>
          <cell r="B233" t="str">
            <v>VILLAGRAN MACHUCA NATANAEL RODRIGO</v>
          </cell>
        </row>
        <row r="234">
          <cell r="A234" t="str">
            <v>13028690-9</v>
          </cell>
          <cell r="B234" t="str">
            <v>VILLANUEVA MORENO MARIO ALEJANDRO</v>
          </cell>
        </row>
        <row r="235">
          <cell r="A235" t="str">
            <v>19857311-6</v>
          </cell>
          <cell r="B235" t="str">
            <v>VILLANUEVA SEPULVEDA ANDRO JARED</v>
          </cell>
        </row>
        <row r="236">
          <cell r="A236" t="str">
            <v>17905126-5</v>
          </cell>
          <cell r="B236" t="str">
            <v>VILLAR ARANDA MICHAEL ALEJANDRO</v>
          </cell>
        </row>
        <row r="237">
          <cell r="A237" t="str">
            <v>20424848-6</v>
          </cell>
          <cell r="B237" t="str">
            <v>VIVAR MIRANDA FELIPE ESTEBAN</v>
          </cell>
        </row>
        <row r="238">
          <cell r="A238" t="str">
            <v>26141379-5</v>
          </cell>
          <cell r="B238" t="str">
            <v>YANEZ CASTILLO DANIEL ALEJANDRO</v>
          </cell>
        </row>
        <row r="239">
          <cell r="A239" t="str">
            <v>19042758-7</v>
          </cell>
          <cell r="B239" t="str">
            <v>YAÑEZ VEGA GABRIEL ESTEBAN GEDEON</v>
          </cell>
        </row>
        <row r="240">
          <cell r="A240" t="str">
            <v>23399663-7</v>
          </cell>
          <cell r="B240" t="str">
            <v>YUPANQUI RAMIREZ ARTURO FERNANDO</v>
          </cell>
        </row>
        <row r="241">
          <cell r="A241" t="str">
            <v>21348213-0</v>
          </cell>
          <cell r="B241" t="str">
            <v>ZAMORA YAÑEZ DANIEL FRANCISCO</v>
          </cell>
        </row>
        <row r="242">
          <cell r="A242" t="str">
            <v>14141643-K</v>
          </cell>
          <cell r="B242" t="str">
            <v>ZAPATA ORDENES FABIAN ANDRES</v>
          </cell>
        </row>
        <row r="243">
          <cell r="A243" t="str">
            <v>18630023-8</v>
          </cell>
          <cell r="B243" t="str">
            <v>ZEPEDA VALLADARES NICOLAS IGNACIO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Vasquez" refreshedDate="46075.504261111113" createdVersion="8" refreshedVersion="8" minRefreshableVersion="3" recordCount="163" xr:uid="{C847ECC4-89BB-4CFD-84FE-0870B1B3B7B3}">
  <cacheSource type="worksheet">
    <worksheetSource ref="A1:I1048576" sheet="BASE"/>
  </cacheSource>
  <cacheFields count="9">
    <cacheField name="ID" numFmtId="0">
      <sharedItems containsBlank="1" count="3">
        <s v="TURNO DIA"/>
        <s v="TURNO TARDE"/>
        <m/>
      </sharedItems>
    </cacheField>
    <cacheField name="RUT" numFmtId="0">
      <sharedItems containsBlank="1"/>
    </cacheField>
    <cacheField name="Nombre completo" numFmtId="0">
      <sharedItems containsBlank="1"/>
    </cacheField>
    <cacheField name="23/02/2026" numFmtId="0">
      <sharedItems containsBlank="1" containsMixedTypes="1" containsNumber="1" containsInteger="1" minValue="1" maxValue="3" count="5">
        <n v="2"/>
        <n v="1"/>
        <s v="VACACIONES/ADMINISTRATIVO "/>
        <n v="3"/>
        <m/>
      </sharedItems>
    </cacheField>
    <cacheField name="24/02/2026" numFmtId="0">
      <sharedItems containsBlank="1" containsMixedTypes="1" containsNumber="1" containsInteger="1" minValue="1" maxValue="3" count="5">
        <n v="3"/>
        <n v="1"/>
        <n v="2"/>
        <s v="VACACIONES/ADMINISTRATIVO"/>
        <m/>
      </sharedItems>
    </cacheField>
    <cacheField name="25/02/2026" numFmtId="0">
      <sharedItems containsBlank="1" containsMixedTypes="1" containsNumber="1" containsInteger="1" minValue="1" maxValue="3" count="6">
        <n v="1"/>
        <n v="3"/>
        <n v="2"/>
        <s v="VACACIONES/ADMINISTRATIVO"/>
        <s v="NO"/>
        <m/>
      </sharedItems>
    </cacheField>
    <cacheField name="26/02/2026" numFmtId="0">
      <sharedItems containsBlank="1" containsMixedTypes="1" containsNumber="1" containsInteger="1" minValue="1" maxValue="3" count="6">
        <n v="1"/>
        <n v="3"/>
        <n v="2"/>
        <s v="VACACIONES/ADMINISTRATIVO "/>
        <s v="NO"/>
        <m/>
      </sharedItems>
    </cacheField>
    <cacheField name="27/02/2026" numFmtId="0">
      <sharedItems containsBlank="1" containsMixedTypes="1" containsNumber="1" containsInteger="1" minValue="1" maxValue="2" count="4">
        <n v="1"/>
        <n v="2"/>
        <s v="VACACIONES/ADMINISTRATIVO "/>
        <m/>
      </sharedItems>
    </cacheField>
    <cacheField name="TURNO" numFmtId="0">
      <sharedItems containsBlank="1" count="5">
        <s v="AM"/>
        <s v="C"/>
        <s v="NOCHE"/>
        <s v="P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s v="15163789-2"/>
    <s v="ABASCAL LIZANA CRISTOBAL MATIAS"/>
    <x v="0"/>
    <x v="0"/>
    <x v="0"/>
    <x v="0"/>
    <x v="0"/>
    <x v="0"/>
  </r>
  <r>
    <x v="0"/>
    <s v="20054817-5"/>
    <s v="ACUÑA LAGOS JOSE IGNACIO"/>
    <x v="0"/>
    <x v="0"/>
    <x v="1"/>
    <x v="1"/>
    <x v="1"/>
    <x v="0"/>
  </r>
  <r>
    <x v="0"/>
    <s v="15995035-2"/>
    <s v="ALARCON SANCHEZ ROSAMEL DEL TRANSITO"/>
    <x v="1"/>
    <x v="1"/>
    <x v="0"/>
    <x v="0"/>
    <x v="0"/>
    <x v="0"/>
  </r>
  <r>
    <x v="0"/>
    <s v="21253994-5"/>
    <s v="ALBORNOZ ARAVENA GABRIEL MAXIMILIANO"/>
    <x v="0"/>
    <x v="1"/>
    <x v="0"/>
    <x v="0"/>
    <x v="0"/>
    <x v="0"/>
  </r>
  <r>
    <x v="0"/>
    <s v="22248240-2"/>
    <s v="BURGOS EUSTAQUIO ELMER"/>
    <x v="0"/>
    <x v="0"/>
    <x v="1"/>
    <x v="1"/>
    <x v="0"/>
    <x v="0"/>
  </r>
  <r>
    <x v="0"/>
    <s v="19754080-k"/>
    <s v="CACERES CANALES LUIS ALFREDO"/>
    <x v="0"/>
    <x v="0"/>
    <x v="0"/>
    <x v="0"/>
    <x v="1"/>
    <x v="0"/>
  </r>
  <r>
    <x v="0"/>
    <s v="20823745-4"/>
    <s v="CALDERON JORQUERA MICHAEL ESTEBAN"/>
    <x v="0"/>
    <x v="0"/>
    <x v="0"/>
    <x v="0"/>
    <x v="0"/>
    <x v="0"/>
  </r>
  <r>
    <x v="0"/>
    <s v="22105181-5"/>
    <s v="CARQUIN GUAJARDO NICOLAS IGNACIO"/>
    <x v="0"/>
    <x v="0"/>
    <x v="0"/>
    <x v="1"/>
    <x v="1"/>
    <x v="0"/>
  </r>
  <r>
    <x v="0"/>
    <s v="22105181-5"/>
    <s v="CARQUIN GUAJARDO NICOLAS IGNACIO"/>
    <x v="0"/>
    <x v="0"/>
    <x v="0"/>
    <x v="1"/>
    <x v="1"/>
    <x v="0"/>
  </r>
  <r>
    <x v="0"/>
    <s v="9164465-7"/>
    <s v="CARRIZO GONZALEZ LEONEL ALAMIRO"/>
    <x v="0"/>
    <x v="0"/>
    <x v="0"/>
    <x v="2"/>
    <x v="0"/>
    <x v="0"/>
  </r>
  <r>
    <x v="0"/>
    <s v="18385040-7"/>
    <s v="CASTILLO VERGARA CINDY MARLEN"/>
    <x v="0"/>
    <x v="1"/>
    <x v="2"/>
    <x v="0"/>
    <x v="0"/>
    <x v="0"/>
  </r>
  <r>
    <x v="0"/>
    <s v="17150007-9"/>
    <s v="COLIMAN RODRÍGUEZ FRANCISCO MANUEL"/>
    <x v="1"/>
    <x v="1"/>
    <x v="0"/>
    <x v="0"/>
    <x v="0"/>
    <x v="0"/>
  </r>
  <r>
    <x v="0"/>
    <s v="12142905-5"/>
    <s v="CORNEJO CORNEJO ALEJANDRO ANTONIO"/>
    <x v="1"/>
    <x v="1"/>
    <x v="0"/>
    <x v="0"/>
    <x v="0"/>
    <x v="0"/>
  </r>
  <r>
    <x v="0"/>
    <s v="19562442-9"/>
    <s v="CORTES CARMONA BASTIAN HERNAN"/>
    <x v="0"/>
    <x v="0"/>
    <x v="0"/>
    <x v="2"/>
    <x v="1"/>
    <x v="0"/>
  </r>
  <r>
    <x v="0"/>
    <s v="19187203-7"/>
    <s v="CRUZ GARCIA JORGE HERNAN"/>
    <x v="0"/>
    <x v="2"/>
    <x v="2"/>
    <x v="2"/>
    <x v="0"/>
    <x v="0"/>
  </r>
  <r>
    <x v="0"/>
    <s v="13800757-k"/>
    <s v="DIAZ GARRIDO GUILLERMO ANTONIO"/>
    <x v="0"/>
    <x v="1"/>
    <x v="0"/>
    <x v="1"/>
    <x v="0"/>
    <x v="0"/>
  </r>
  <r>
    <x v="0"/>
    <s v="13800757-k"/>
    <s v="DIAZ GARRIDO GUILLERMO ANTONIO"/>
    <x v="0"/>
    <x v="1"/>
    <x v="0"/>
    <x v="1"/>
    <x v="0"/>
    <x v="0"/>
  </r>
  <r>
    <x v="0"/>
    <s v="10168667-1"/>
    <s v="ESCALONA FARIAS JUAN CARLOS"/>
    <x v="0"/>
    <x v="1"/>
    <x v="0"/>
    <x v="1"/>
    <x v="1"/>
    <x v="0"/>
  </r>
  <r>
    <x v="0"/>
    <s v="9487471-8"/>
    <s v="FLORES SAAVEDRA JOSE ALBERTO"/>
    <x v="2"/>
    <x v="3"/>
    <x v="3"/>
    <x v="3"/>
    <x v="2"/>
    <x v="0"/>
  </r>
  <r>
    <x v="0"/>
    <s v="9481561-4"/>
    <s v="FLORES VIDAL FRANCISCO RODRIGO"/>
    <x v="3"/>
    <x v="1"/>
    <x v="1"/>
    <x v="1"/>
    <x v="0"/>
    <x v="0"/>
  </r>
  <r>
    <x v="0"/>
    <s v="15819718-9"/>
    <s v="GARCIA GARCIA NAYARET CATHERINNE"/>
    <x v="1"/>
    <x v="0"/>
    <x v="0"/>
    <x v="0"/>
    <x v="0"/>
    <x v="0"/>
  </r>
  <r>
    <x v="0"/>
    <s v="20099812-k"/>
    <s v="GUZMAN MARTINEZ ANDRES FAVIAN"/>
    <x v="0"/>
    <x v="0"/>
    <x v="0"/>
    <x v="0"/>
    <x v="1"/>
    <x v="0"/>
  </r>
  <r>
    <x v="0"/>
    <s v="18603773-1"/>
    <s v="HERRERA ZAMBRANO CRISTOPHER IGNACIO"/>
    <x v="0"/>
    <x v="0"/>
    <x v="1"/>
    <x v="0"/>
    <x v="1"/>
    <x v="0"/>
  </r>
  <r>
    <x v="0"/>
    <s v="18603773-1"/>
    <s v="HERRERA ZAMBRANO CRISTOPHER IGNACIO"/>
    <x v="0"/>
    <x v="0"/>
    <x v="1"/>
    <x v="0"/>
    <x v="1"/>
    <x v="0"/>
  </r>
  <r>
    <x v="0"/>
    <s v="17110641-9"/>
    <s v="IRARRAZABAL VILLANUEVA ARIEL JESUS"/>
    <x v="1"/>
    <x v="1"/>
    <x v="0"/>
    <x v="0"/>
    <x v="0"/>
    <x v="0"/>
  </r>
  <r>
    <x v="0"/>
    <s v="19918837-2"/>
    <s v="LAGOS MARTINEZ FABIAN ALEJANDRO"/>
    <x v="0"/>
    <x v="1"/>
    <x v="1"/>
    <x v="2"/>
    <x v="1"/>
    <x v="0"/>
  </r>
  <r>
    <x v="0"/>
    <s v="19304186-8"/>
    <s v="LLANCAQUEO LLANCAQUEO SEBASTIAN ANTONIO"/>
    <x v="0"/>
    <x v="0"/>
    <x v="0"/>
    <x v="1"/>
    <x v="1"/>
    <x v="0"/>
  </r>
  <r>
    <x v="0"/>
    <s v="25664618-8"/>
    <s v="MENDEZ ANDRADE SANDI JOSE"/>
    <x v="0"/>
    <x v="2"/>
    <x v="0"/>
    <x v="1"/>
    <x v="0"/>
    <x v="0"/>
  </r>
  <r>
    <x v="0"/>
    <s v="25057090-2"/>
    <s v="MENDEZ LARA KRISTOPHER ALEXANDER"/>
    <x v="1"/>
    <x v="1"/>
    <x v="0"/>
    <x v="0"/>
    <x v="0"/>
    <x v="0"/>
  </r>
  <r>
    <x v="0"/>
    <s v="15234535-6"/>
    <s v="MENDEZ MANRIQUEZ GERARDO IVAN"/>
    <x v="0"/>
    <x v="0"/>
    <x v="1"/>
    <x v="2"/>
    <x v="0"/>
    <x v="0"/>
  </r>
  <r>
    <x v="0"/>
    <s v="27322835-7"/>
    <s v="MONJES PERAZA CHARLIS DANIEL"/>
    <x v="0"/>
    <x v="2"/>
    <x v="0"/>
    <x v="0"/>
    <x v="0"/>
    <x v="0"/>
  </r>
  <r>
    <x v="0"/>
    <s v="9892652-6"/>
    <s v="MORALES JORQUERA LUIS EDUARDO"/>
    <x v="0"/>
    <x v="1"/>
    <x v="2"/>
    <x v="2"/>
    <x v="1"/>
    <x v="0"/>
  </r>
  <r>
    <x v="0"/>
    <s v="13460815-3"/>
    <s v="MUÑOZ MUÑOZ RODOLFO IVAN"/>
    <x v="1"/>
    <x v="1"/>
    <x v="0"/>
    <x v="0"/>
    <x v="0"/>
    <x v="0"/>
  </r>
  <r>
    <x v="0"/>
    <s v="44520822-1"/>
    <s v="MUÑOZ PIÑA SERGIO DAVID"/>
    <x v="1"/>
    <x v="1"/>
    <x v="0"/>
    <x v="0"/>
    <x v="0"/>
    <x v="0"/>
  </r>
  <r>
    <x v="0"/>
    <s v="19003121-7"/>
    <s v="NEIRA FERNANDEZ CRISTOBAL DAVID"/>
    <x v="1"/>
    <x v="1"/>
    <x v="0"/>
    <x v="0"/>
    <x v="0"/>
    <x v="0"/>
  </r>
  <r>
    <x v="0"/>
    <s v="17261853-7"/>
    <s v="OSES RÍOS GUILLERMO EMILIO"/>
    <x v="3"/>
    <x v="2"/>
    <x v="1"/>
    <x v="1"/>
    <x v="1"/>
    <x v="0"/>
  </r>
  <r>
    <x v="0"/>
    <s v="44520822-1"/>
    <s v="OSORIO VEGA SANTIAGO"/>
    <x v="0"/>
    <x v="0"/>
    <x v="1"/>
    <x v="2"/>
    <x v="1"/>
    <x v="0"/>
  </r>
  <r>
    <x v="0"/>
    <s v="16148907-7"/>
    <s v="OYARZUN GALLARDO RONALD ANDRES"/>
    <x v="1"/>
    <x v="1"/>
    <x v="1"/>
    <x v="1"/>
    <x v="0"/>
    <x v="0"/>
  </r>
  <r>
    <x v="0"/>
    <s v="18121724-3"/>
    <s v="PALACIOS PERALTA PABLO ANDRES"/>
    <x v="3"/>
    <x v="1"/>
    <x v="1"/>
    <x v="1"/>
    <x v="0"/>
    <x v="0"/>
  </r>
  <r>
    <x v="0"/>
    <s v="27470623-6"/>
    <s v="PIN ALVARADO ANDRES ANGEL"/>
    <x v="0"/>
    <x v="0"/>
    <x v="0"/>
    <x v="1"/>
    <x v="0"/>
    <x v="0"/>
  </r>
  <r>
    <x v="0"/>
    <s v="17732407-8"/>
    <s v="PINO CRUZ RENZO GIOVANNI"/>
    <x v="3"/>
    <x v="2"/>
    <x v="1"/>
    <x v="1"/>
    <x v="1"/>
    <x v="0"/>
  </r>
  <r>
    <x v="0"/>
    <s v="20383468-3"/>
    <s v="PIÑA RONDA ALAN"/>
    <x v="1"/>
    <x v="1"/>
    <x v="0"/>
    <x v="0"/>
    <x v="0"/>
    <x v="0"/>
  </r>
  <r>
    <x v="0"/>
    <s v="15361004-5"/>
    <s v="QUEZADA BRAVO ALEX JONATHAN"/>
    <x v="3"/>
    <x v="1"/>
    <x v="0"/>
    <x v="1"/>
    <x v="1"/>
    <x v="0"/>
  </r>
  <r>
    <x v="0"/>
    <s v="26983276-2"/>
    <s v="RAMOS RODRIGUEZ JAIVER GABRIEL"/>
    <x v="1"/>
    <x v="1"/>
    <x v="0"/>
    <x v="0"/>
    <x v="0"/>
    <x v="0"/>
  </r>
  <r>
    <x v="0"/>
    <s v="18697014-4"/>
    <s v="REBOLLEDO TREJOS NICOLAS ALEJANDRO"/>
    <x v="1"/>
    <x v="1"/>
    <x v="0"/>
    <x v="0"/>
    <x v="0"/>
    <x v="0"/>
  </r>
  <r>
    <x v="0"/>
    <s v="17064952-4"/>
    <s v="REBOLLEDO VERA FABIÁN ESTEBAN"/>
    <x v="2"/>
    <x v="3"/>
    <x v="3"/>
    <x v="3"/>
    <x v="2"/>
    <x v="0"/>
  </r>
  <r>
    <x v="0"/>
    <s v="18191670-2"/>
    <s v="RETAMAL SALAS EMANUEL EDUARDO"/>
    <x v="3"/>
    <x v="0"/>
    <x v="0"/>
    <x v="1"/>
    <x v="0"/>
    <x v="0"/>
  </r>
  <r>
    <x v="0"/>
    <s v="19886666-0"/>
    <s v="ROJAS BUCAREY ALEXANDER ADRIAN"/>
    <x v="0"/>
    <x v="0"/>
    <x v="1"/>
    <x v="2"/>
    <x v="1"/>
    <x v="0"/>
  </r>
  <r>
    <x v="0"/>
    <s v="21200182-1"/>
    <s v="RUIZ ORBEGOZO JORGE LUIS"/>
    <x v="0"/>
    <x v="0"/>
    <x v="0"/>
    <x v="0"/>
    <x v="1"/>
    <x v="0"/>
  </r>
  <r>
    <x v="0"/>
    <s v="15722772-6"/>
    <s v="SALAS BECERRA OSCAR ALBERTO"/>
    <x v="3"/>
    <x v="1"/>
    <x v="1"/>
    <x v="1"/>
    <x v="0"/>
    <x v="0"/>
  </r>
  <r>
    <x v="0"/>
    <s v="15539417-K"/>
    <s v="SANDOVAL QUEZADA OSCAR FERNANDO"/>
    <x v="1"/>
    <x v="1"/>
    <x v="0"/>
    <x v="0"/>
    <x v="0"/>
    <x v="0"/>
  </r>
  <r>
    <x v="0"/>
    <s v="15168413-0"/>
    <s v="SANDOVAL RUBILAR FREDY ALEJANDRO"/>
    <x v="1"/>
    <x v="1"/>
    <x v="0"/>
    <x v="0"/>
    <x v="0"/>
    <x v="0"/>
  </r>
  <r>
    <x v="0"/>
    <s v="19162455-6"/>
    <s v="SEGUEL ALVAREZ JUAN CARLOS"/>
    <x v="0"/>
    <x v="0"/>
    <x v="0"/>
    <x v="1"/>
    <x v="1"/>
    <x v="0"/>
  </r>
  <r>
    <x v="0"/>
    <s v="18977190-8"/>
    <s v="SOTO GONZÁLEZ FRANCISCO ORLANDO"/>
    <x v="3"/>
    <x v="0"/>
    <x v="1"/>
    <x v="1"/>
    <x v="1"/>
    <x v="0"/>
  </r>
  <r>
    <x v="0"/>
    <s v="17738525-5"/>
    <s v="SOTO REUMANTE CHRISTIAN ALEXIS"/>
    <x v="1"/>
    <x v="1"/>
    <x v="0"/>
    <x v="0"/>
    <x v="0"/>
    <x v="0"/>
  </r>
  <r>
    <x v="0"/>
    <s v="26171464-7"/>
    <s v="TEJADA GRANADA CRISTIAN SOLANO"/>
    <x v="0"/>
    <x v="2"/>
    <x v="2"/>
    <x v="0"/>
    <x v="0"/>
    <x v="0"/>
  </r>
  <r>
    <x v="0"/>
    <s v="21739451-1"/>
    <s v="VALENZUELA CASTILLO SERGIO FELIPE"/>
    <x v="3"/>
    <x v="0"/>
    <x v="1"/>
    <x v="1"/>
    <x v="0"/>
    <x v="0"/>
  </r>
  <r>
    <x v="0"/>
    <s v="26682304-5"/>
    <s v="VEGA ESTRADA JUAN FELIX"/>
    <x v="0"/>
    <x v="0"/>
    <x v="2"/>
    <x v="0"/>
    <x v="0"/>
    <x v="0"/>
  </r>
  <r>
    <x v="0"/>
    <s v="20552867-9"/>
    <s v="VICENCIO CATRIPAN HECTOR ENRIQUE"/>
    <x v="0"/>
    <x v="0"/>
    <x v="1"/>
    <x v="1"/>
    <x v="0"/>
    <x v="0"/>
  </r>
  <r>
    <x v="0"/>
    <s v="17905126-5"/>
    <s v="VILLAR ARANDA MICHAEL ALEJANDRO"/>
    <x v="3"/>
    <x v="0"/>
    <x v="1"/>
    <x v="1"/>
    <x v="1"/>
    <x v="0"/>
  </r>
  <r>
    <x v="0"/>
    <s v="26141379-5"/>
    <s v="YANEZ CASTILLO DANIEL ALEJANDRO"/>
    <x v="0"/>
    <x v="0"/>
    <x v="0"/>
    <x v="2"/>
    <x v="0"/>
    <x v="0"/>
  </r>
  <r>
    <x v="0"/>
    <s v="23399663-7"/>
    <s v="YUPANQUI RAMIREZ ARTURO FERNANDO"/>
    <x v="0"/>
    <x v="2"/>
    <x v="0"/>
    <x v="0"/>
    <x v="1"/>
    <x v="0"/>
  </r>
  <r>
    <x v="0"/>
    <s v="21348213-0"/>
    <s v="ZAMORA YAÑEZ DANIEL FRANCISCO"/>
    <x v="1"/>
    <x v="0"/>
    <x v="0"/>
    <x v="1"/>
    <x v="1"/>
    <x v="0"/>
  </r>
  <r>
    <x v="0"/>
    <s v="14141643-k"/>
    <s v="ZAPATA ORDENES FABIAN ANDRÉS"/>
    <x v="0"/>
    <x v="0"/>
    <x v="0"/>
    <x v="1"/>
    <x v="1"/>
    <x v="0"/>
  </r>
  <r>
    <x v="0"/>
    <s v="18630023-8"/>
    <s v="ZEPEDA VALLADARES NICOLAS IGNACIO"/>
    <x v="0"/>
    <x v="0"/>
    <x v="0"/>
    <x v="1"/>
    <x v="0"/>
    <x v="0"/>
  </r>
  <r>
    <x v="0"/>
    <s v="21161295-9"/>
    <s v="ACEVEDO CORTES NATALY JAVIERA"/>
    <x v="3"/>
    <x v="0"/>
    <x v="0"/>
    <x v="2"/>
    <x v="1"/>
    <x v="1"/>
  </r>
  <r>
    <x v="0"/>
    <s v="25406099-2"/>
    <s v="AVALOS CISNEROS FERNANDO"/>
    <x v="1"/>
    <x v="1"/>
    <x v="0"/>
    <x v="0"/>
    <x v="0"/>
    <x v="1"/>
  </r>
  <r>
    <x v="0"/>
    <s v="25781650-8"/>
    <s v="AYENSA JIMENEZ DIANA VILLAR"/>
    <x v="2"/>
    <x v="3"/>
    <x v="3"/>
    <x v="2"/>
    <x v="1"/>
    <x v="1"/>
  </r>
  <r>
    <x v="0"/>
    <s v="19681987-8"/>
    <s v="BRICEÑO SILVA KEVIN ALEJANDRO"/>
    <x v="0"/>
    <x v="1"/>
    <x v="1"/>
    <x v="1"/>
    <x v="1"/>
    <x v="1"/>
  </r>
  <r>
    <x v="0"/>
    <s v="19246868-K"/>
    <s v="CRUZ C GONZALO"/>
    <x v="3"/>
    <x v="0"/>
    <x v="0"/>
    <x v="2"/>
    <x v="1"/>
    <x v="1"/>
  </r>
  <r>
    <x v="0"/>
    <s v="14682203-7"/>
    <s v="DE LA CRUZ PIMINCHUMO VICTOR MANUEL"/>
    <x v="2"/>
    <x v="3"/>
    <x v="3"/>
    <x v="3"/>
    <x v="2"/>
    <x v="1"/>
  </r>
  <r>
    <x v="0"/>
    <s v="16930362-2"/>
    <s v="FUENTES CAVIERES NIZA VALESKA"/>
    <x v="1"/>
    <x v="1"/>
    <x v="1"/>
    <x v="1"/>
    <x v="1"/>
    <x v="1"/>
  </r>
  <r>
    <x v="0"/>
    <s v="27195140-k"/>
    <s v="GOYOS MADRIZ MARÍA FERNANDA"/>
    <x v="3"/>
    <x v="1"/>
    <x v="0"/>
    <x v="1"/>
    <x v="0"/>
    <x v="1"/>
  </r>
  <r>
    <x v="0"/>
    <s v="19168743-4"/>
    <s v="HERNANDEZ FUENTES CAMILA ANDREA"/>
    <x v="3"/>
    <x v="3"/>
    <x v="3"/>
    <x v="3"/>
    <x v="2"/>
    <x v="1"/>
  </r>
  <r>
    <x v="0"/>
    <s v="25322034-1"/>
    <s v="LEON LEON JEAN MARIE"/>
    <x v="1"/>
    <x v="1"/>
    <x v="0"/>
    <x v="0"/>
    <x v="0"/>
    <x v="1"/>
  </r>
  <r>
    <x v="0"/>
    <s v="22150213-2"/>
    <s v="LOZANO MAHECHA LILIANA"/>
    <x v="3"/>
    <x v="0"/>
    <x v="4"/>
    <x v="4"/>
    <x v="0"/>
    <x v="1"/>
  </r>
  <r>
    <x v="0"/>
    <s v="14505469-9"/>
    <s v="MELIN MILLACURA CARLOS ANIBAL"/>
    <x v="0"/>
    <x v="1"/>
    <x v="2"/>
    <x v="2"/>
    <x v="1"/>
    <x v="1"/>
  </r>
  <r>
    <x v="0"/>
    <s v="20219329-3"/>
    <s v="MOLINA PAREDES FELIPE IGNACIO"/>
    <x v="1"/>
    <x v="1"/>
    <x v="0"/>
    <x v="0"/>
    <x v="0"/>
    <x v="1"/>
  </r>
  <r>
    <x v="0"/>
    <s v="20048416-9"/>
    <s v="MOLINA ZUNIGA BENJAMIN ANDRES"/>
    <x v="3"/>
    <x v="0"/>
    <x v="0"/>
    <x v="1"/>
    <x v="1"/>
    <x v="1"/>
  </r>
  <r>
    <x v="0"/>
    <s v="19170786-9"/>
    <s v="MONTES UBILLA JUAN CARLOS"/>
    <x v="3"/>
    <x v="0"/>
    <x v="1"/>
    <x v="1"/>
    <x v="0"/>
    <x v="1"/>
  </r>
  <r>
    <x v="0"/>
    <s v="17003790-1"/>
    <s v="MORA MORA FELIPE IGNACIO"/>
    <x v="2"/>
    <x v="0"/>
    <x v="3"/>
    <x v="3"/>
    <x v="2"/>
    <x v="1"/>
  </r>
  <r>
    <x v="0"/>
    <s v="21081008-0"/>
    <s v="MUÑOZ HUERTA DIEGO ALEJANDRO"/>
    <x v="3"/>
    <x v="0"/>
    <x v="0"/>
    <x v="1"/>
    <x v="1"/>
    <x v="1"/>
  </r>
  <r>
    <x v="0"/>
    <s v="10281436-3"/>
    <s v="ORTIZ MUÑOZ DAVID ALFONSO"/>
    <x v="1"/>
    <x v="1"/>
    <x v="0"/>
    <x v="0"/>
    <x v="0"/>
    <x v="1"/>
  </r>
  <r>
    <x v="0"/>
    <s v="17426727-8"/>
    <s v="PERALTA ESPINOZA GILBERTO IVAN"/>
    <x v="1"/>
    <x v="1"/>
    <x v="0"/>
    <x v="0"/>
    <x v="0"/>
    <x v="1"/>
  </r>
  <r>
    <x v="0"/>
    <s v="19742965-8"/>
    <s v="PEREZ OJEDA BASTIAN DE JESUS"/>
    <x v="3"/>
    <x v="0"/>
    <x v="0"/>
    <x v="1"/>
    <x v="0"/>
    <x v="1"/>
  </r>
  <r>
    <x v="0"/>
    <s v="19565261-9"/>
    <s v="PINO PULGAR KEVIN ANDRES"/>
    <x v="1"/>
    <x v="1"/>
    <x v="0"/>
    <x v="0"/>
    <x v="0"/>
    <x v="1"/>
  </r>
  <r>
    <x v="0"/>
    <s v="8456853-8"/>
    <s v="SALAZAR GUZMAN XIMENA"/>
    <x v="2"/>
    <x v="0"/>
    <x v="3"/>
    <x v="3"/>
    <x v="2"/>
    <x v="1"/>
  </r>
  <r>
    <x v="0"/>
    <s v="10000806-8"/>
    <s v="SEPULVEDA GONZALEZ NELSON JOHN"/>
    <x v="2"/>
    <x v="3"/>
    <x v="3"/>
    <x v="0"/>
    <x v="0"/>
    <x v="1"/>
  </r>
  <r>
    <x v="0"/>
    <s v="21970536-0"/>
    <s v="SOLORZANO TAMARA YOSELINE YSABEL"/>
    <x v="0"/>
    <x v="0"/>
    <x v="0"/>
    <x v="1"/>
    <x v="1"/>
    <x v="1"/>
  </r>
  <r>
    <x v="0"/>
    <s v="18862670-k"/>
    <s v="SOTO MONDACA CLAUDIO FERNANDO"/>
    <x v="1"/>
    <x v="2"/>
    <x v="1"/>
    <x v="2"/>
    <x v="0"/>
    <x v="1"/>
  </r>
  <r>
    <x v="0"/>
    <s v="13238091-0"/>
    <s v="TORO RUBILAR CLAUDIO CESAR"/>
    <x v="0"/>
    <x v="2"/>
    <x v="0"/>
    <x v="1"/>
    <x v="1"/>
    <x v="1"/>
  </r>
  <r>
    <x v="0"/>
    <s v="26263619-4"/>
    <s v="VANGI GUZMAN DINO NICOLA DE JESUS"/>
    <x v="1"/>
    <x v="0"/>
    <x v="1"/>
    <x v="2"/>
    <x v="1"/>
    <x v="1"/>
  </r>
  <r>
    <x v="0"/>
    <s v="20138497-4"/>
    <s v="VERA MUÑOZ BASTIAN IGNACIO"/>
    <x v="0"/>
    <x v="0"/>
    <x v="0"/>
    <x v="2"/>
    <x v="1"/>
    <x v="1"/>
  </r>
  <r>
    <x v="0"/>
    <s v="20059508-4"/>
    <s v="VERGARA ALBORNOZ KAREN MARCELA"/>
    <x v="3"/>
    <x v="0"/>
    <x v="0"/>
    <x v="1"/>
    <x v="1"/>
    <x v="1"/>
  </r>
  <r>
    <x v="0"/>
    <s v="19171156-4"/>
    <s v="VILLAGRAN MACHUCA NATANAEL RODRIGO"/>
    <x v="1"/>
    <x v="1"/>
    <x v="0"/>
    <x v="0"/>
    <x v="0"/>
    <x v="1"/>
  </r>
  <r>
    <x v="0"/>
    <s v="13028690-9"/>
    <s v="VILLANUEVA MORENO MARIO ALEJANDRO"/>
    <x v="0"/>
    <x v="0"/>
    <x v="0"/>
    <x v="0"/>
    <x v="1"/>
    <x v="1"/>
  </r>
  <r>
    <x v="0"/>
    <s v="44563760-2"/>
    <s v="ZAMBRANO SERRANO ELIAS RAMON"/>
    <x v="1"/>
    <x v="1"/>
    <x v="0"/>
    <x v="0"/>
    <x v="0"/>
    <x v="1"/>
  </r>
  <r>
    <x v="1"/>
    <s v="20130821-6"/>
    <s v="DELGADO LABRA NICOLAS IGNACIO"/>
    <x v="1"/>
    <x v="1"/>
    <x v="0"/>
    <x v="0"/>
    <x v="0"/>
    <x v="2"/>
  </r>
  <r>
    <x v="1"/>
    <s v="13479870-K"/>
    <s v="FABIO ARAYA CLAUDIO FERNANDO"/>
    <x v="1"/>
    <x v="1"/>
    <x v="0"/>
    <x v="0"/>
    <x v="0"/>
    <x v="2"/>
  </r>
  <r>
    <x v="1"/>
    <s v="26821985-4"/>
    <s v="MENDO SAUCEDO JORGE LUIS"/>
    <x v="3"/>
    <x v="0"/>
    <x v="1"/>
    <x v="1"/>
    <x v="0"/>
    <x v="2"/>
  </r>
  <r>
    <x v="1"/>
    <s v="19656729-1"/>
    <s v="MUÑOZ TAPIA MARCO ANTONIO"/>
    <x v="1"/>
    <x v="1"/>
    <x v="0"/>
    <x v="0"/>
    <x v="0"/>
    <x v="2"/>
  </r>
  <r>
    <x v="1"/>
    <s v="18330652-9"/>
    <s v="SEPULVEDA SALAZAR FABIANA YAMILETH "/>
    <x v="1"/>
    <x v="1"/>
    <x v="0"/>
    <x v="1"/>
    <x v="1"/>
    <x v="2"/>
  </r>
  <r>
    <x v="1"/>
    <s v="14195801-1"/>
    <s v="SOLIS BARRIA RODRIGO IVAN"/>
    <x v="0"/>
    <x v="0"/>
    <x v="0"/>
    <x v="1"/>
    <x v="1"/>
    <x v="2"/>
  </r>
  <r>
    <x v="1"/>
    <s v="19837925-5"/>
    <s v="VASQUEZ NEIRA MARTIN FRANCISCO"/>
    <x v="0"/>
    <x v="0"/>
    <x v="1"/>
    <x v="2"/>
    <x v="1"/>
    <x v="2"/>
  </r>
  <r>
    <x v="1"/>
    <s v="20910090-8"/>
    <s v="ACUÑA PEÑA AXEL NICOLAS "/>
    <x v="3"/>
    <x v="0"/>
    <x v="1"/>
    <x v="1"/>
    <x v="1"/>
    <x v="3"/>
  </r>
  <r>
    <x v="1"/>
    <s v="16780518-3"/>
    <s v="ALVAREZ CARRASCO FELIPE EDUARDO"/>
    <x v="0"/>
    <x v="1"/>
    <x v="0"/>
    <x v="0"/>
    <x v="1"/>
    <x v="3"/>
  </r>
  <r>
    <x v="1"/>
    <s v="25045715-4"/>
    <s v="ARMAS RUIZ SEGUNDO DIONICIO"/>
    <x v="0"/>
    <x v="0"/>
    <x v="0"/>
    <x v="1"/>
    <x v="1"/>
    <x v="3"/>
  </r>
  <r>
    <x v="1"/>
    <s v="11129943-9"/>
    <s v="AROS VARELA VICTOR HUGO"/>
    <x v="3"/>
    <x v="1"/>
    <x v="1"/>
    <x v="1"/>
    <x v="1"/>
    <x v="3"/>
  </r>
  <r>
    <x v="1"/>
    <s v="18925037-1"/>
    <s v="AVILA ARCE KEVIN EDUARDO"/>
    <x v="3"/>
    <x v="0"/>
    <x v="0"/>
    <x v="1"/>
    <x v="1"/>
    <x v="3"/>
  </r>
  <r>
    <x v="1"/>
    <s v="27474408-1"/>
    <s v="BELSUZARRE CAMPOS JUAN MARTÍN"/>
    <x v="0"/>
    <x v="1"/>
    <x v="0"/>
    <x v="1"/>
    <x v="0"/>
    <x v="3"/>
  </r>
  <r>
    <x v="1"/>
    <s v="20001354-9"/>
    <s v="CABEZA URREA MICHAEL BRANDON"/>
    <x v="0"/>
    <x v="0"/>
    <x v="0"/>
    <x v="1"/>
    <x v="0"/>
    <x v="3"/>
  </r>
  <r>
    <x v="1"/>
    <s v="27237007-9"/>
    <s v="CALLE ABRAMONTE GILBERTO"/>
    <x v="1"/>
    <x v="0"/>
    <x v="0"/>
    <x v="1"/>
    <x v="0"/>
    <x v="3"/>
  </r>
  <r>
    <x v="1"/>
    <s v="17415201-2"/>
    <s v="CAMUS VERA ARIEL JESUS"/>
    <x v="0"/>
    <x v="1"/>
    <x v="0"/>
    <x v="0"/>
    <x v="0"/>
    <x v="3"/>
  </r>
  <r>
    <x v="1"/>
    <s v="21475887-3"/>
    <s v="CANO HERRERA JAVIER PERSI"/>
    <x v="1"/>
    <x v="1"/>
    <x v="0"/>
    <x v="0"/>
    <x v="0"/>
    <x v="3"/>
  </r>
  <r>
    <x v="1"/>
    <s v="25371382-8"/>
    <s v="CAPCHA MEZA ALEX GERMAN"/>
    <x v="0"/>
    <x v="0"/>
    <x v="0"/>
    <x v="2"/>
    <x v="0"/>
    <x v="3"/>
  </r>
  <r>
    <x v="1"/>
    <s v="22251178-k"/>
    <s v="CARBAJAL CRUZADO  VICTOR"/>
    <x v="0"/>
    <x v="0"/>
    <x v="0"/>
    <x v="1"/>
    <x v="0"/>
    <x v="3"/>
  </r>
  <r>
    <x v="1"/>
    <s v="18726492-8"/>
    <s v="CARO VILLASECA DAVID ANTONIO"/>
    <x v="0"/>
    <x v="0"/>
    <x v="0"/>
    <x v="0"/>
    <x v="1"/>
    <x v="3"/>
  </r>
  <r>
    <x v="1"/>
    <s v="27390589-8"/>
    <s v="CONDE CURI AGUSTIN"/>
    <x v="3"/>
    <x v="0"/>
    <x v="0"/>
    <x v="1"/>
    <x v="0"/>
    <x v="3"/>
  </r>
  <r>
    <x v="1"/>
    <s v="25630389-2"/>
    <s v="DARIUS  JHONNY"/>
    <x v="0"/>
    <x v="0"/>
    <x v="0"/>
    <x v="2"/>
    <x v="0"/>
    <x v="3"/>
  </r>
  <r>
    <x v="1"/>
    <s v="15960166-8"/>
    <s v="DIAZ CARVAJAL PATRICIO RENE"/>
    <x v="1"/>
    <x v="1"/>
    <x v="0"/>
    <x v="0"/>
    <x v="0"/>
    <x v="3"/>
  </r>
  <r>
    <x v="1"/>
    <s v="18127633-9"/>
    <s v="DURAN IRARRÁZABAL MIGUEL ANGEL"/>
    <x v="1"/>
    <x v="0"/>
    <x v="1"/>
    <x v="1"/>
    <x v="1"/>
    <x v="3"/>
  </r>
  <r>
    <x v="1"/>
    <s v="13840721-7"/>
    <s v="ECHEVERRIA CARTAGENA OCTAVIO ALEJANDRO"/>
    <x v="3"/>
    <x v="0"/>
    <x v="1"/>
    <x v="1"/>
    <x v="1"/>
    <x v="3"/>
  </r>
  <r>
    <x v="1"/>
    <s v="19818673-2"/>
    <s v="ESCALONA MALDONADO WILLIAMS TOMAS"/>
    <x v="1"/>
    <x v="1"/>
    <x v="2"/>
    <x v="1"/>
    <x v="0"/>
    <x v="3"/>
  </r>
  <r>
    <x v="1"/>
    <s v="14585756-2"/>
    <s v="ESPINOSA ARENAS ALEJANDRO ENRIQUE"/>
    <x v="0"/>
    <x v="0"/>
    <x v="0"/>
    <x v="1"/>
    <x v="0"/>
    <x v="3"/>
  </r>
  <r>
    <x v="1"/>
    <s v="17182236-k"/>
    <s v="ESPINOZA CHANDIA DAVID ALBERTO"/>
    <x v="1"/>
    <x v="0"/>
    <x v="0"/>
    <x v="0"/>
    <x v="1"/>
    <x v="3"/>
  </r>
  <r>
    <x v="1"/>
    <s v="25947499-k"/>
    <s v="GONZALEZ MURILLO CARLOS MARIO"/>
    <x v="0"/>
    <x v="0"/>
    <x v="0"/>
    <x v="0"/>
    <x v="0"/>
    <x v="3"/>
  </r>
  <r>
    <x v="1"/>
    <s v="24603138-k"/>
    <s v="GUEVARA GARCIA JOHN ALEJANDRO"/>
    <x v="0"/>
    <x v="2"/>
    <x v="0"/>
    <x v="0"/>
    <x v="0"/>
    <x v="3"/>
  </r>
  <r>
    <x v="1"/>
    <s v="15686018-2"/>
    <s v="HERRERA ASTETE EDWIN MAURICIO"/>
    <x v="1"/>
    <x v="1"/>
    <x v="0"/>
    <x v="0"/>
    <x v="0"/>
    <x v="3"/>
  </r>
  <r>
    <x v="1"/>
    <s v="27395206-3"/>
    <s v="HUACARPUMA LIMA ROLY"/>
    <x v="2"/>
    <x v="0"/>
    <x v="0"/>
    <x v="1"/>
    <x v="0"/>
    <x v="3"/>
  </r>
  <r>
    <x v="1"/>
    <s v="16986485-3"/>
    <s v="LAGOS BRAVO IVAN ANDRES"/>
    <x v="1"/>
    <x v="1"/>
    <x v="0"/>
    <x v="0"/>
    <x v="0"/>
    <x v="3"/>
  </r>
  <r>
    <x v="1"/>
    <s v="17620879-1"/>
    <s v="LAPLECHADE ORREGO FRANCISCO JAVIER"/>
    <x v="1"/>
    <x v="1"/>
    <x v="0"/>
    <x v="0"/>
    <x v="0"/>
    <x v="3"/>
  </r>
  <r>
    <x v="1"/>
    <s v="10141211-3"/>
    <s v="LEIVA LOPEZ ALLAN HARRY"/>
    <x v="3"/>
    <x v="0"/>
    <x v="0"/>
    <x v="1"/>
    <x v="1"/>
    <x v="3"/>
  </r>
  <r>
    <x v="1"/>
    <s v="26056584-2"/>
    <s v="MALDONADO MAÑAN BRYAN OMAR"/>
    <x v="1"/>
    <x v="1"/>
    <x v="0"/>
    <x v="0"/>
    <x v="0"/>
    <x v="3"/>
  </r>
  <r>
    <x v="1"/>
    <s v="26061733-8"/>
    <s v="MANRIQUE GARCIA JEFFERSON"/>
    <x v="0"/>
    <x v="0"/>
    <x v="0"/>
    <x v="2"/>
    <x v="0"/>
    <x v="3"/>
  </r>
  <r>
    <x v="1"/>
    <s v="15287012-4"/>
    <s v="MANSILLA BARRIENTOS MARCIA DOLENA"/>
    <x v="1"/>
    <x v="1"/>
    <x v="0"/>
    <x v="0"/>
    <x v="0"/>
    <x v="3"/>
  </r>
  <r>
    <x v="1"/>
    <s v="18276445-0"/>
    <s v="MARAMBIO PESCHKE GABRIEL ENRIQUE"/>
    <x v="0"/>
    <x v="0"/>
    <x v="2"/>
    <x v="2"/>
    <x v="1"/>
    <x v="3"/>
  </r>
  <r>
    <x v="1"/>
    <s v="21254167-2"/>
    <s v="MARTINEZ CONEJEROS BRYAN ALEJANDRO"/>
    <x v="1"/>
    <x v="1"/>
    <x v="0"/>
    <x v="0"/>
    <x v="0"/>
    <x v="3"/>
  </r>
  <r>
    <x v="1"/>
    <s v="19001512-2"/>
    <s v="MAUREIRA MENDOZA PABLO DAMIAN"/>
    <x v="1"/>
    <x v="0"/>
    <x v="0"/>
    <x v="2"/>
    <x v="1"/>
    <x v="3"/>
  </r>
  <r>
    <x v="1"/>
    <s v="13078992-7"/>
    <s v="MILLAN ARAVENA ALVARO"/>
    <x v="3"/>
    <x v="0"/>
    <x v="1"/>
    <x v="1"/>
    <x v="0"/>
    <x v="3"/>
  </r>
  <r>
    <x v="1"/>
    <s v="17770596-9"/>
    <s v="MORA MENESES JUAN PABLO"/>
    <x v="3"/>
    <x v="0"/>
    <x v="1"/>
    <x v="2"/>
    <x v="1"/>
    <x v="3"/>
  </r>
  <r>
    <x v="1"/>
    <s v="21993393-2"/>
    <s v="MOSTACERO BANCES WILSON LEO"/>
    <x v="1"/>
    <x v="1"/>
    <x v="0"/>
    <x v="0"/>
    <x v="0"/>
    <x v="3"/>
  </r>
  <r>
    <x v="1"/>
    <s v="19280241-5"/>
    <s v="NEGRON BUSTOS MIGUEL ANGEL"/>
    <x v="0"/>
    <x v="0"/>
    <x v="1"/>
    <x v="1"/>
    <x v="1"/>
    <x v="3"/>
  </r>
  <r>
    <x v="1"/>
    <s v="28607962-8"/>
    <s v="OJEDA LUGO CARLOS LUIS"/>
    <x v="1"/>
    <x v="1"/>
    <x v="0"/>
    <x v="0"/>
    <x v="0"/>
    <x v="3"/>
  </r>
  <r>
    <x v="1"/>
    <s v="18674276-1"/>
    <s v="OSSA CORDERO JORGE AXEL"/>
    <x v="0"/>
    <x v="0"/>
    <x v="0"/>
    <x v="0"/>
    <x v="0"/>
    <x v="3"/>
  </r>
  <r>
    <x v="1"/>
    <s v="18674276-1"/>
    <s v="OSSA CORDERO JORGE AXEL"/>
    <x v="1"/>
    <x v="1"/>
    <x v="0"/>
    <x v="0"/>
    <x v="0"/>
    <x v="3"/>
  </r>
  <r>
    <x v="1"/>
    <s v="25953876-9"/>
    <s v="PARRA ROMERO LUIS JAVIER"/>
    <x v="0"/>
    <x v="1"/>
    <x v="0"/>
    <x v="0"/>
    <x v="1"/>
    <x v="3"/>
  </r>
  <r>
    <x v="1"/>
    <s v="19684427-9"/>
    <s v="PEREZ SOTO ANDREW BRYAN"/>
    <x v="3"/>
    <x v="0"/>
    <x v="1"/>
    <x v="1"/>
    <x v="0"/>
    <x v="3"/>
  </r>
  <r>
    <x v="1"/>
    <s v="19069111-k"/>
    <s v="PIÑA RONDA JOHAN ABEL"/>
    <x v="0"/>
    <x v="2"/>
    <x v="1"/>
    <x v="1"/>
    <x v="0"/>
    <x v="3"/>
  </r>
  <r>
    <x v="1"/>
    <s v="18984751-3"/>
    <s v="PIZARRO RAMIREZ IGNACIO ANDRES"/>
    <x v="3"/>
    <x v="0"/>
    <x v="0"/>
    <x v="1"/>
    <x v="0"/>
    <x v="3"/>
  </r>
  <r>
    <x v="1"/>
    <s v="16920656-2"/>
    <s v="QUEVEDO NARVAEZ DIEGO ALEJANDRO"/>
    <x v="0"/>
    <x v="0"/>
    <x v="0"/>
    <x v="0"/>
    <x v="0"/>
    <x v="3"/>
  </r>
  <r>
    <x v="1"/>
    <s v="25173871-8"/>
    <s v="RUBIO VARAS SANTOS FELIPE"/>
    <x v="1"/>
    <x v="1"/>
    <x v="0"/>
    <x v="0"/>
    <x v="0"/>
    <x v="3"/>
  </r>
  <r>
    <x v="1"/>
    <s v="20684166-4"/>
    <s v="SALAMANCA PEREZ ANGEL ANTONIO"/>
    <x v="0"/>
    <x v="1"/>
    <x v="2"/>
    <x v="2"/>
    <x v="0"/>
    <x v="3"/>
  </r>
  <r>
    <x v="1"/>
    <s v="19748427-6"/>
    <s v="SALAZAR MUÑOZ SEBASTIAN IGNACIO"/>
    <x v="0"/>
    <x v="0"/>
    <x v="0"/>
    <x v="0"/>
    <x v="1"/>
    <x v="3"/>
  </r>
  <r>
    <x v="1"/>
    <s v="19037949-3"/>
    <s v="SEPULVEDA ESPINOZA FRANCO ADONIS"/>
    <x v="0"/>
    <x v="2"/>
    <x v="0"/>
    <x v="2"/>
    <x v="0"/>
    <x v="3"/>
  </r>
  <r>
    <x v="1"/>
    <s v="26056584-2"/>
    <s v="SUAREZ CARRILLO JORGE ANDRES"/>
    <x v="3"/>
    <x v="0"/>
    <x v="1"/>
    <x v="1"/>
    <x v="0"/>
    <x v="3"/>
  </r>
  <r>
    <x v="1"/>
    <s v="16798879-2"/>
    <s v="TELLO BELTRAN PABLO ANTONIO"/>
    <x v="0"/>
    <x v="1"/>
    <x v="0"/>
    <x v="0"/>
    <x v="1"/>
    <x v="3"/>
  </r>
  <r>
    <x v="1"/>
    <s v="10391800-6"/>
    <s v="VALDES SEPULVEDA JAVIER ABDON"/>
    <x v="1"/>
    <x v="1"/>
    <x v="0"/>
    <x v="0"/>
    <x v="0"/>
    <x v="3"/>
  </r>
  <r>
    <x v="1"/>
    <s v="14364450-2"/>
    <s v="VARGAS MORALES CARLOS ARMANDO"/>
    <x v="3"/>
    <x v="0"/>
    <x v="1"/>
    <x v="1"/>
    <x v="0"/>
    <x v="3"/>
  </r>
  <r>
    <x v="1"/>
    <s v="16978205-9"/>
    <s v="VELASQUEZ VASQUEZ JACOB ARCADIO"/>
    <x v="1"/>
    <x v="1"/>
    <x v="0"/>
    <x v="0"/>
    <x v="0"/>
    <x v="3"/>
  </r>
  <r>
    <x v="1"/>
    <s v="19857311-6"/>
    <s v="VILLANUEVA SEPULVEDA ANDRO JARED"/>
    <x v="1"/>
    <x v="1"/>
    <x v="0"/>
    <x v="0"/>
    <x v="0"/>
    <x v="3"/>
  </r>
  <r>
    <x v="1"/>
    <s v="20424848-6"/>
    <s v="VIVAR MIRANDA FELIPE ESTEBAN"/>
    <x v="0"/>
    <x v="1"/>
    <x v="0"/>
    <x v="0"/>
    <x v="1"/>
    <x v="3"/>
  </r>
  <r>
    <x v="2"/>
    <m/>
    <m/>
    <x v="4"/>
    <x v="4"/>
    <x v="5"/>
    <x v="5"/>
    <x v="3"/>
    <x v="4"/>
  </r>
  <r>
    <x v="2"/>
    <m/>
    <m/>
    <x v="4"/>
    <x v="4"/>
    <x v="5"/>
    <x v="5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702B0-7298-45DB-A2B2-563CF080B654}" name="TablaDinámica2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G3:K19" firstHeaderRow="1" firstDataRow="2" firstDataCol="2"/>
  <pivotFields count="9"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0"/>
        <item x="3"/>
        <item h="1" x="2"/>
        <item h="1" x="4"/>
        <item t="default"/>
      </items>
    </pivotField>
    <pivotField axis="axisRow" dataField="1" compact="0" outline="0" showAll="0">
      <items count="6">
        <item x="1"/>
        <item x="2"/>
        <item x="0"/>
        <item h="1" x="3"/>
        <item h="1" x="4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2">
    <field x="4"/>
    <field x="8"/>
  </rowFields>
  <rowItems count="15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24/02/2026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3A6EF-79DC-4DDE-8B0E-A3E0E20D10CA}" name="TablaDiná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E20" firstHeaderRow="1" firstDataRow="2" firstDataCol="2"/>
  <pivotFields count="9"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axis="axisRow" dataField="1" compact="0" outline="0" showAll="0">
      <items count="6">
        <item x="1"/>
        <item x="0"/>
        <item x="3"/>
        <item h="1"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2">
    <field x="3"/>
    <field x="8"/>
  </rowFields>
  <row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23/02/2026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741A8-5DBA-49D7-9A8E-3BE3B598E497}" name="TablaDinámica5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44:E56" firstHeaderRow="1" firstDataRow="2" firstDataCol="2"/>
  <pivotFields count="9"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0"/>
        <item x="3"/>
        <item h="1" x="2"/>
        <item h="1" x="4"/>
        <item t="default"/>
      </items>
    </pivotField>
    <pivotField compact="0" outline="0" showAll="0">
      <items count="6">
        <item x="1"/>
        <item x="2"/>
        <item x="0"/>
        <item h="1" x="3"/>
        <item h="1" x="4"/>
        <item t="default"/>
      </items>
    </pivotField>
    <pivotField compact="0" outline="0" showAll="0">
      <items count="7">
        <item x="0"/>
        <item x="2"/>
        <item x="1"/>
        <item h="1" x="4"/>
        <item h="1" x="3"/>
        <item h="1" x="5"/>
        <item t="default"/>
      </items>
    </pivotField>
    <pivotField compact="0" outline="0" showAll="0">
      <items count="7">
        <item x="0"/>
        <item x="2"/>
        <item x="1"/>
        <item h="1" x="4"/>
        <item h="1" x="3"/>
        <item h="1" x="5"/>
        <item t="default"/>
      </items>
    </pivotField>
    <pivotField axis="axisRow" dataField="1" compact="0" outline="0" showAll="0">
      <items count="5">
        <item x="0"/>
        <item x="1"/>
        <item h="1" x="2"/>
        <item h="1" x="3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2">
    <field x="7"/>
    <field x="8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27/02/2026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B61F6-77C8-4021-ACEA-6252B07CDCE3}" name="TablaDinámica4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G24:K41" firstHeaderRow="1" firstDataRow="2" firstDataCol="2"/>
  <pivotFields count="9"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0"/>
        <item x="3"/>
        <item h="1" x="2"/>
        <item h="1" x="4"/>
        <item t="default"/>
      </items>
    </pivotField>
    <pivotField compact="0" outline="0" showAll="0">
      <items count="6">
        <item x="1"/>
        <item x="2"/>
        <item x="0"/>
        <item h="1" x="3"/>
        <item h="1" x="4"/>
        <item t="default"/>
      </items>
    </pivotField>
    <pivotField compact="0" outline="0" showAll="0">
      <items count="7">
        <item x="0"/>
        <item x="2"/>
        <item x="1"/>
        <item h="1" x="4"/>
        <item h="1" x="3"/>
        <item h="1" x="5"/>
        <item t="default"/>
      </items>
    </pivotField>
    <pivotField axis="axisRow" dataField="1" compact="0" outline="0" showAll="0">
      <items count="7">
        <item x="0"/>
        <item x="2"/>
        <item x="1"/>
        <item h="1" x="4"/>
        <item h="1" x="3"/>
        <item h="1" x="5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2">
    <field x="6"/>
    <field x="8"/>
  </rowFields>
  <row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26/02/2026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23A4F-1395-459C-9340-C22A635DCA99}" name="TablaDinámica3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23:E39" firstHeaderRow="1" firstDataRow="2" firstDataCol="2"/>
  <pivotFields count="9"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0"/>
        <item x="3"/>
        <item h="1" x="2"/>
        <item h="1" x="4"/>
        <item t="default"/>
      </items>
    </pivotField>
    <pivotField compact="0" outline="0" showAll="0">
      <items count="6">
        <item x="1"/>
        <item x="2"/>
        <item x="0"/>
        <item h="1" x="3"/>
        <item h="1" x="4"/>
        <item t="default"/>
      </items>
    </pivotField>
    <pivotField axis="axisRow" dataField="1" compact="0" outline="0" showAll="0">
      <items count="7">
        <item x="0"/>
        <item x="2"/>
        <item x="1"/>
        <item h="1" x="4"/>
        <item h="1" x="3"/>
        <item h="1" x="5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2">
    <field x="5"/>
    <field x="8"/>
  </rowFields>
  <rowItems count="15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25/02/2026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15" totalsRowShown="0">
  <autoFilter ref="A1:M115" xr:uid="{00000000-0009-0000-0100-000001000000}"/>
  <tableColumns count="13">
    <tableColumn id="1" xr3:uid="{00000000-0010-0000-0000-000001000000}" name="ID" dataDxfId="12"/>
    <tableColumn id="2" xr3:uid="{00000000-0010-0000-0000-000002000000}" name="Hora de inicio" dataDxfId="11"/>
    <tableColumn id="3" xr3:uid="{00000000-0010-0000-0000-000003000000}" name="Hora de finalización" dataDxfId="10"/>
    <tableColumn id="4" xr3:uid="{00000000-0010-0000-0000-000004000000}" name="Correo electrónico" dataDxfId="9"/>
    <tableColumn id="5" xr3:uid="{00000000-0010-0000-0000-000005000000}" name="Nombre" dataDxfId="8"/>
    <tableColumn id="6" xr3:uid="{00000000-0010-0000-0000-000006000000}" name="Hora de la última modificación" dataDxfId="7"/>
    <tableColumn id="7" xr3:uid="{00000000-0010-0000-0000-000007000000}" name="Nombre completo" dataDxfId="6"/>
    <tableColumn id="8" xr3:uid="{00000000-0010-0000-0000-000008000000}" name="Rut (formato 12345678-9)" dataDxfId="5"/>
    <tableColumn id="9" xr3:uid="{00000000-0010-0000-0000-000009000000}" name="LUNES 23 DE FEBRERO OP1:  TOMATICAN CON ARROZOP2: POLLO AL JUGO CON ARROZOP3: HIPO TUTO CON REPOLLO-ZAPALLO ITALIANO-ZANAHORIA" dataDxfId="4"/>
    <tableColumn id="10" xr3:uid="{00000000-0010-0000-0000-00000A000000}" name="MARTES 24 DE FEBRERO OP1:  POROTOS PILCO CON CHORIZO OP2: PRIETAS LIONESA CON PUREOP3: HIPO HAMBURGUESA DE VACUNO  CON LECHUGA-TOMATE-CHOCLO" dataDxfId="3"/>
    <tableColumn id="11" xr3:uid="{00000000-0010-0000-0000-00000B000000}" name="MIERCOLES 25 DE FEBRERO OP1:  CARNE MONGOLIANA CON ARROZOP2: CHAMPIÑON SALTEADO  CON ARROZOP3: HIPO FRITO DE ATUN CON LECHUGA-PAPAS COCIDAS-CEBOLLA EN PLUMAS " dataDxfId="2"/>
    <tableColumn id="12" xr3:uid="{00000000-0010-0000-0000-00000C000000}" name="JUEVES 26 DE FEBRERO OP1:  POLLO CUBOS ARVERJADO CON QUIFAROS OP2: POLLO PESTO CON QUIFAROS OP3: HIPO BISTEC DE POLLO  CON POROTO VERDE -TOMATE-HABAS " dataDxfId="1"/>
    <tableColumn id="13" xr3:uid="{00000000-0010-0000-0000-00000D000000}" name="VIERNES 27 DE FEBRERO OP1:  CHULETA ASADA  CON ARROZ Y PAPAS FRITAS OP2: MILANESA DE POLLO CON ARROZ Y PAPAS FRITAS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opLeftCell="E1" workbookViewId="0">
      <selection activeCell="H46" sqref="H46"/>
    </sheetView>
  </sheetViews>
  <sheetFormatPr baseColWidth="10" defaultColWidth="8.6640625" defaultRowHeight="14.4" x14ac:dyDescent="0.3"/>
  <cols>
    <col min="1" max="13" width="20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46069.5800578704</v>
      </c>
      <c r="C2" s="1">
        <v>46069.581099536997</v>
      </c>
      <c r="D2" t="s">
        <v>13</v>
      </c>
      <c r="F2" s="1"/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16</v>
      </c>
      <c r="M2" t="s">
        <v>16</v>
      </c>
    </row>
    <row r="3" spans="1:13" x14ac:dyDescent="0.3">
      <c r="A3">
        <v>2</v>
      </c>
      <c r="B3" s="1">
        <v>46069.637314814798</v>
      </c>
      <c r="C3" s="1">
        <v>46069.637939814798</v>
      </c>
      <c r="D3" t="s">
        <v>13</v>
      </c>
      <c r="F3" s="1"/>
      <c r="G3" t="s">
        <v>19</v>
      </c>
      <c r="H3" t="s">
        <v>20</v>
      </c>
      <c r="I3" t="s">
        <v>17</v>
      </c>
      <c r="J3" t="s">
        <v>17</v>
      </c>
      <c r="K3" t="s">
        <v>21</v>
      </c>
      <c r="L3" t="s">
        <v>17</v>
      </c>
      <c r="M3" t="s">
        <v>22</v>
      </c>
    </row>
    <row r="4" spans="1:13" x14ac:dyDescent="0.3">
      <c r="A4">
        <v>3</v>
      </c>
      <c r="B4" s="1">
        <v>46069.637303240699</v>
      </c>
      <c r="C4" s="1">
        <v>46069.638298611098</v>
      </c>
      <c r="D4" t="s">
        <v>13</v>
      </c>
      <c r="F4" s="1"/>
      <c r="G4" t="s">
        <v>23</v>
      </c>
      <c r="H4" t="s">
        <v>24</v>
      </c>
      <c r="I4" t="s">
        <v>21</v>
      </c>
      <c r="J4" t="s">
        <v>21</v>
      </c>
      <c r="K4" t="s">
        <v>22</v>
      </c>
      <c r="L4" t="s">
        <v>17</v>
      </c>
      <c r="M4" t="s">
        <v>21</v>
      </c>
    </row>
    <row r="5" spans="1:13" x14ac:dyDescent="0.3">
      <c r="A5">
        <v>4</v>
      </c>
      <c r="B5" s="1">
        <v>46069.637361111098</v>
      </c>
      <c r="C5" s="1">
        <v>46069.638483796298</v>
      </c>
      <c r="D5" t="s">
        <v>13</v>
      </c>
      <c r="F5" s="1"/>
      <c r="G5" t="s">
        <v>25</v>
      </c>
      <c r="H5" t="s">
        <v>26</v>
      </c>
      <c r="I5" t="s">
        <v>17</v>
      </c>
      <c r="J5" t="s">
        <v>17</v>
      </c>
      <c r="K5" t="s">
        <v>21</v>
      </c>
      <c r="L5" t="s">
        <v>17</v>
      </c>
      <c r="M5" t="s">
        <v>22</v>
      </c>
    </row>
    <row r="6" spans="1:13" x14ac:dyDescent="0.3">
      <c r="A6">
        <v>5</v>
      </c>
      <c r="B6" s="1">
        <v>46069.638078703698</v>
      </c>
      <c r="C6" s="1">
        <v>46069.6385069444</v>
      </c>
      <c r="D6" t="s">
        <v>13</v>
      </c>
      <c r="F6" s="1"/>
      <c r="G6" t="s">
        <v>27</v>
      </c>
      <c r="H6" t="s">
        <v>28</v>
      </c>
      <c r="I6" t="s">
        <v>16</v>
      </c>
      <c r="J6" t="s">
        <v>18</v>
      </c>
      <c r="K6" t="s">
        <v>18</v>
      </c>
      <c r="L6" t="s">
        <v>22</v>
      </c>
      <c r="M6" t="s">
        <v>22</v>
      </c>
    </row>
    <row r="7" spans="1:13" x14ac:dyDescent="0.3">
      <c r="A7">
        <v>6</v>
      </c>
      <c r="B7" s="1">
        <v>46069.637291666702</v>
      </c>
      <c r="C7" s="1">
        <v>46069.638611111099</v>
      </c>
      <c r="D7" t="s">
        <v>13</v>
      </c>
      <c r="F7" s="1"/>
      <c r="G7" t="s">
        <v>29</v>
      </c>
      <c r="H7" t="s">
        <v>30</v>
      </c>
      <c r="I7" t="s">
        <v>22</v>
      </c>
      <c r="J7" t="s">
        <v>21</v>
      </c>
      <c r="K7" t="s">
        <v>21</v>
      </c>
      <c r="L7" t="s">
        <v>21</v>
      </c>
      <c r="M7" t="s">
        <v>21</v>
      </c>
    </row>
    <row r="8" spans="1:13" x14ac:dyDescent="0.3">
      <c r="A8">
        <v>7</v>
      </c>
      <c r="B8" s="1">
        <v>46069.637326388904</v>
      </c>
      <c r="C8" s="1">
        <v>46069.638611111099</v>
      </c>
      <c r="D8" t="s">
        <v>13</v>
      </c>
      <c r="F8" s="1"/>
      <c r="G8" t="s">
        <v>31</v>
      </c>
      <c r="H8" t="s">
        <v>32</v>
      </c>
      <c r="I8" t="s">
        <v>22</v>
      </c>
      <c r="J8" t="s">
        <v>17</v>
      </c>
      <c r="K8" t="s">
        <v>17</v>
      </c>
      <c r="L8" t="s">
        <v>17</v>
      </c>
      <c r="M8" t="s">
        <v>22</v>
      </c>
    </row>
    <row r="9" spans="1:13" x14ac:dyDescent="0.3">
      <c r="A9">
        <v>8</v>
      </c>
      <c r="B9" s="1">
        <v>46069.637488425898</v>
      </c>
      <c r="C9" s="1">
        <v>46069.638657407399</v>
      </c>
      <c r="D9" t="s">
        <v>13</v>
      </c>
      <c r="F9" s="1"/>
      <c r="G9" t="s">
        <v>33</v>
      </c>
      <c r="H9" t="s">
        <v>34</v>
      </c>
      <c r="I9" t="s">
        <v>21</v>
      </c>
      <c r="J9" t="s">
        <v>17</v>
      </c>
      <c r="K9" t="s">
        <v>17</v>
      </c>
      <c r="L9" t="s">
        <v>17</v>
      </c>
      <c r="M9" t="s">
        <v>22</v>
      </c>
    </row>
    <row r="10" spans="1:13" x14ac:dyDescent="0.3">
      <c r="A10">
        <v>9</v>
      </c>
      <c r="B10" s="1">
        <v>46069.638020833299</v>
      </c>
      <c r="C10" s="1">
        <v>46069.638703703698</v>
      </c>
      <c r="D10" t="s">
        <v>13</v>
      </c>
      <c r="F10" s="1"/>
      <c r="G10" t="s">
        <v>35</v>
      </c>
      <c r="H10" t="s">
        <v>36</v>
      </c>
      <c r="I10" t="s">
        <v>17</v>
      </c>
      <c r="J10" t="s">
        <v>17</v>
      </c>
      <c r="K10" t="s">
        <v>17</v>
      </c>
      <c r="L10" t="s">
        <v>17</v>
      </c>
      <c r="M10" t="s">
        <v>22</v>
      </c>
    </row>
    <row r="11" spans="1:13" x14ac:dyDescent="0.3">
      <c r="A11">
        <v>10</v>
      </c>
      <c r="B11" s="1">
        <v>46069.638171296298</v>
      </c>
      <c r="C11" s="1">
        <v>46069.638807870397</v>
      </c>
      <c r="D11" t="s">
        <v>13</v>
      </c>
      <c r="F11" s="1"/>
      <c r="G11" t="s">
        <v>37</v>
      </c>
      <c r="H11" s="2" t="s">
        <v>38</v>
      </c>
      <c r="I11" t="s">
        <v>17</v>
      </c>
      <c r="J11" t="s">
        <v>17</v>
      </c>
      <c r="K11" t="s">
        <v>21</v>
      </c>
      <c r="L11" t="s">
        <v>17</v>
      </c>
      <c r="M11" t="s">
        <v>21</v>
      </c>
    </row>
    <row r="12" spans="1:13" x14ac:dyDescent="0.3">
      <c r="A12">
        <v>11</v>
      </c>
      <c r="B12" s="1">
        <v>46069.638217592597</v>
      </c>
      <c r="C12" s="1">
        <v>46069.638981481497</v>
      </c>
      <c r="D12" t="s">
        <v>13</v>
      </c>
      <c r="F12" s="1"/>
      <c r="G12" t="s">
        <v>39</v>
      </c>
      <c r="H12" t="s">
        <v>40</v>
      </c>
      <c r="I12" t="s">
        <v>21</v>
      </c>
      <c r="J12" t="s">
        <v>17</v>
      </c>
      <c r="K12" t="s">
        <v>21</v>
      </c>
      <c r="L12" t="s">
        <v>22</v>
      </c>
      <c r="M12" t="s">
        <v>22</v>
      </c>
    </row>
    <row r="13" spans="1:13" x14ac:dyDescent="0.3">
      <c r="A13">
        <v>12</v>
      </c>
      <c r="B13" s="1">
        <v>46069.638055555602</v>
      </c>
      <c r="C13" s="1">
        <v>46069.639351851903</v>
      </c>
      <c r="D13" t="s">
        <v>13</v>
      </c>
      <c r="F13" s="1"/>
      <c r="G13" t="s">
        <v>41</v>
      </c>
      <c r="H13" t="s">
        <v>42</v>
      </c>
      <c r="I13" t="s">
        <v>17</v>
      </c>
      <c r="J13" t="s">
        <v>17</v>
      </c>
      <c r="K13" t="s">
        <v>21</v>
      </c>
      <c r="L13" t="s">
        <v>17</v>
      </c>
      <c r="M13" t="s">
        <v>22</v>
      </c>
    </row>
    <row r="14" spans="1:13" x14ac:dyDescent="0.3">
      <c r="A14">
        <v>13</v>
      </c>
      <c r="B14" s="1">
        <v>46069.638159722199</v>
      </c>
      <c r="C14" s="1">
        <v>46069.639618055597</v>
      </c>
      <c r="D14" t="s">
        <v>13</v>
      </c>
      <c r="F14" s="1"/>
      <c r="G14" t="s">
        <v>43</v>
      </c>
      <c r="H14" s="2" t="s">
        <v>44</v>
      </c>
      <c r="I14" t="s">
        <v>22</v>
      </c>
      <c r="J14" t="s">
        <v>22</v>
      </c>
      <c r="K14" t="s">
        <v>21</v>
      </c>
      <c r="L14" t="s">
        <v>21</v>
      </c>
      <c r="M14" t="s">
        <v>21</v>
      </c>
    </row>
    <row r="15" spans="1:13" x14ac:dyDescent="0.3">
      <c r="A15">
        <v>14</v>
      </c>
      <c r="B15" s="1">
        <v>46069.638969907399</v>
      </c>
      <c r="C15" s="1">
        <v>46069.640243055597</v>
      </c>
      <c r="D15" t="s">
        <v>13</v>
      </c>
      <c r="F15" s="1"/>
      <c r="G15" t="s">
        <v>45</v>
      </c>
      <c r="H15" t="s">
        <v>46</v>
      </c>
      <c r="I15" t="s">
        <v>22</v>
      </c>
      <c r="J15" t="s">
        <v>17</v>
      </c>
      <c r="K15" t="s">
        <v>21</v>
      </c>
      <c r="L15" t="s">
        <v>21</v>
      </c>
      <c r="M15" t="s">
        <v>21</v>
      </c>
    </row>
    <row r="16" spans="1:13" x14ac:dyDescent="0.3">
      <c r="A16">
        <v>15</v>
      </c>
      <c r="B16" s="1">
        <v>46069.637511574103</v>
      </c>
      <c r="C16" s="1">
        <v>46069.640300925901</v>
      </c>
      <c r="D16" t="s">
        <v>13</v>
      </c>
      <c r="F16" s="1"/>
      <c r="G16" t="s">
        <v>47</v>
      </c>
      <c r="H16" s="2" t="s">
        <v>48</v>
      </c>
      <c r="I16" t="s">
        <v>22</v>
      </c>
      <c r="J16" t="s">
        <v>17</v>
      </c>
      <c r="K16" t="s">
        <v>22</v>
      </c>
      <c r="L16" t="s">
        <v>22</v>
      </c>
      <c r="M16" t="s">
        <v>22</v>
      </c>
    </row>
    <row r="17" spans="1:13" x14ac:dyDescent="0.3">
      <c r="A17">
        <v>16</v>
      </c>
      <c r="B17" s="1">
        <v>46069.639305555596</v>
      </c>
      <c r="C17" s="1">
        <v>46069.6403587963</v>
      </c>
      <c r="D17" t="s">
        <v>13</v>
      </c>
      <c r="F17" s="1"/>
      <c r="G17" t="s">
        <v>49</v>
      </c>
      <c r="H17" s="2" t="s">
        <v>50</v>
      </c>
      <c r="I17" t="s">
        <v>17</v>
      </c>
      <c r="J17" t="s">
        <v>17</v>
      </c>
      <c r="K17" t="s">
        <v>21</v>
      </c>
      <c r="L17" t="s">
        <v>17</v>
      </c>
      <c r="M17" t="s">
        <v>21</v>
      </c>
    </row>
    <row r="18" spans="1:13" x14ac:dyDescent="0.3">
      <c r="A18">
        <v>17</v>
      </c>
      <c r="B18" s="1">
        <v>46069.639212962997</v>
      </c>
      <c r="C18" s="1">
        <v>46069.640543981499</v>
      </c>
      <c r="D18" t="s">
        <v>13</v>
      </c>
      <c r="F18" s="1"/>
      <c r="G18" t="s">
        <v>51</v>
      </c>
      <c r="H18" t="s">
        <v>52</v>
      </c>
      <c r="I18" t="s">
        <v>22</v>
      </c>
      <c r="J18" t="s">
        <v>17</v>
      </c>
      <c r="K18" t="s">
        <v>21</v>
      </c>
      <c r="L18" t="s">
        <v>21</v>
      </c>
      <c r="M18" t="s">
        <v>22</v>
      </c>
    </row>
    <row r="19" spans="1:13" x14ac:dyDescent="0.3">
      <c r="A19">
        <v>18</v>
      </c>
      <c r="B19" s="1">
        <v>46069.64</v>
      </c>
      <c r="C19" s="1">
        <v>46069.640555555598</v>
      </c>
      <c r="D19" t="s">
        <v>13</v>
      </c>
      <c r="F19" s="1"/>
      <c r="G19" t="s">
        <v>53</v>
      </c>
      <c r="H19" t="s">
        <v>54</v>
      </c>
      <c r="I19" t="s">
        <v>17</v>
      </c>
      <c r="J19" t="s">
        <v>21</v>
      </c>
      <c r="K19" t="s">
        <v>21</v>
      </c>
      <c r="L19" t="s">
        <v>17</v>
      </c>
      <c r="M19" t="s">
        <v>22</v>
      </c>
    </row>
    <row r="20" spans="1:13" x14ac:dyDescent="0.3">
      <c r="A20">
        <v>19</v>
      </c>
      <c r="B20" s="1">
        <v>46069.639305555596</v>
      </c>
      <c r="C20" s="1">
        <v>46069.640555555598</v>
      </c>
      <c r="D20" t="s">
        <v>13</v>
      </c>
      <c r="F20" s="1"/>
      <c r="G20" t="s">
        <v>55</v>
      </c>
      <c r="H20" s="2" t="s">
        <v>56</v>
      </c>
      <c r="I20" t="s">
        <v>17</v>
      </c>
      <c r="J20" t="s">
        <v>17</v>
      </c>
      <c r="K20" t="s">
        <v>17</v>
      </c>
      <c r="L20" t="s">
        <v>17</v>
      </c>
      <c r="M20" t="s">
        <v>22</v>
      </c>
    </row>
    <row r="21" spans="1:13" x14ac:dyDescent="0.3">
      <c r="A21">
        <v>20</v>
      </c>
      <c r="B21" s="1">
        <v>46069.6410763889</v>
      </c>
      <c r="C21" s="1">
        <v>46069.6417013889</v>
      </c>
      <c r="D21" t="s">
        <v>13</v>
      </c>
      <c r="F21" s="1"/>
      <c r="G21" t="s">
        <v>57</v>
      </c>
      <c r="H21" t="s">
        <v>58</v>
      </c>
      <c r="I21" t="s">
        <v>22</v>
      </c>
      <c r="J21" t="s">
        <v>21</v>
      </c>
      <c r="K21" t="s">
        <v>21</v>
      </c>
      <c r="L21" t="s">
        <v>17</v>
      </c>
      <c r="M21" t="s">
        <v>21</v>
      </c>
    </row>
    <row r="22" spans="1:13" x14ac:dyDescent="0.3">
      <c r="A22">
        <v>21</v>
      </c>
      <c r="B22" s="1">
        <v>46069.641307870399</v>
      </c>
      <c r="C22" s="1">
        <v>46069.641956018502</v>
      </c>
      <c r="D22" t="s">
        <v>13</v>
      </c>
      <c r="F22" s="1"/>
      <c r="G22" t="s">
        <v>59</v>
      </c>
      <c r="H22" s="2" t="s">
        <v>60</v>
      </c>
      <c r="I22" t="s">
        <v>21</v>
      </c>
      <c r="J22" t="s">
        <v>21</v>
      </c>
      <c r="K22" t="s">
        <v>17</v>
      </c>
      <c r="L22" t="s">
        <v>17</v>
      </c>
      <c r="M22" t="s">
        <v>22</v>
      </c>
    </row>
    <row r="23" spans="1:13" x14ac:dyDescent="0.3">
      <c r="A23">
        <v>22</v>
      </c>
      <c r="B23" s="1">
        <v>46069.640555555598</v>
      </c>
      <c r="C23" s="1">
        <v>46069.642326388901</v>
      </c>
      <c r="D23" t="s">
        <v>13</v>
      </c>
      <c r="F23" s="1"/>
      <c r="G23" t="s">
        <v>61</v>
      </c>
      <c r="H23" t="s">
        <v>62</v>
      </c>
      <c r="I23" t="s">
        <v>22</v>
      </c>
      <c r="J23" t="s">
        <v>17</v>
      </c>
      <c r="K23" t="s">
        <v>21</v>
      </c>
      <c r="L23" t="s">
        <v>21</v>
      </c>
      <c r="M23" t="s">
        <v>22</v>
      </c>
    </row>
    <row r="24" spans="1:13" x14ac:dyDescent="0.3">
      <c r="A24">
        <v>23</v>
      </c>
      <c r="B24" s="1">
        <v>46069.6417476852</v>
      </c>
      <c r="C24" s="1">
        <v>46069.642476851797</v>
      </c>
      <c r="D24" t="s">
        <v>13</v>
      </c>
      <c r="F24" s="1"/>
      <c r="G24" t="s">
        <v>63</v>
      </c>
      <c r="H24" s="2" t="s">
        <v>64</v>
      </c>
      <c r="I24" t="s">
        <v>22</v>
      </c>
      <c r="J24" t="s">
        <v>17</v>
      </c>
      <c r="K24" t="s">
        <v>21</v>
      </c>
      <c r="L24" t="s">
        <v>17</v>
      </c>
      <c r="M24" t="s">
        <v>22</v>
      </c>
    </row>
    <row r="25" spans="1:13" x14ac:dyDescent="0.3">
      <c r="A25">
        <v>24</v>
      </c>
      <c r="B25" s="1">
        <v>46069.642395833303</v>
      </c>
      <c r="C25" s="1">
        <v>46069.643078703702</v>
      </c>
      <c r="D25" t="s">
        <v>13</v>
      </c>
      <c r="F25" s="1"/>
      <c r="G25" t="s">
        <v>65</v>
      </c>
      <c r="H25" t="s">
        <v>66</v>
      </c>
      <c r="I25" t="s">
        <v>17</v>
      </c>
      <c r="J25" t="s">
        <v>18</v>
      </c>
      <c r="K25" t="s">
        <v>18</v>
      </c>
      <c r="L25" t="s">
        <v>16</v>
      </c>
      <c r="M25" t="s">
        <v>16</v>
      </c>
    </row>
    <row r="26" spans="1:13" x14ac:dyDescent="0.3">
      <c r="A26">
        <v>25</v>
      </c>
      <c r="B26" s="1">
        <v>46069.641226851803</v>
      </c>
      <c r="C26" s="1">
        <v>46069.643171296302</v>
      </c>
      <c r="D26" t="s">
        <v>13</v>
      </c>
      <c r="F26" s="1"/>
      <c r="G26" t="s">
        <v>67</v>
      </c>
      <c r="H26" t="s">
        <v>68</v>
      </c>
      <c r="I26" t="s">
        <v>22</v>
      </c>
      <c r="J26" t="s">
        <v>17</v>
      </c>
      <c r="K26" t="s">
        <v>21</v>
      </c>
      <c r="L26" t="s">
        <v>21</v>
      </c>
      <c r="M26" t="s">
        <v>22</v>
      </c>
    </row>
    <row r="27" spans="1:13" x14ac:dyDescent="0.3">
      <c r="A27">
        <v>26</v>
      </c>
      <c r="B27" s="1">
        <v>46069.642384259299</v>
      </c>
      <c r="C27" s="1">
        <v>46069.643194444398</v>
      </c>
      <c r="D27" t="s">
        <v>13</v>
      </c>
      <c r="F27" s="1"/>
      <c r="G27" t="s">
        <v>69</v>
      </c>
      <c r="H27" t="s">
        <v>70</v>
      </c>
      <c r="I27" t="s">
        <v>22</v>
      </c>
      <c r="J27" t="s">
        <v>21</v>
      </c>
      <c r="K27" t="s">
        <v>21</v>
      </c>
      <c r="L27" t="s">
        <v>21</v>
      </c>
      <c r="M27" t="s">
        <v>22</v>
      </c>
    </row>
    <row r="28" spans="1:13" x14ac:dyDescent="0.3">
      <c r="A28">
        <v>27</v>
      </c>
      <c r="B28" s="1">
        <v>46069.642962963</v>
      </c>
      <c r="C28" s="1">
        <v>46069.643923611096</v>
      </c>
      <c r="D28" t="s">
        <v>13</v>
      </c>
      <c r="F28" s="1"/>
      <c r="G28" t="s">
        <v>71</v>
      </c>
      <c r="H28" s="2" t="s">
        <v>72</v>
      </c>
      <c r="I28" t="s">
        <v>22</v>
      </c>
      <c r="J28" t="s">
        <v>21</v>
      </c>
      <c r="K28" t="s">
        <v>17</v>
      </c>
      <c r="L28" t="s">
        <v>17</v>
      </c>
      <c r="M28" t="s">
        <v>22</v>
      </c>
    </row>
    <row r="29" spans="1:13" x14ac:dyDescent="0.3">
      <c r="A29">
        <v>28</v>
      </c>
      <c r="B29" s="1">
        <v>46069.641412037003</v>
      </c>
      <c r="C29" s="1">
        <v>46069.643981481502</v>
      </c>
      <c r="D29" t="s">
        <v>13</v>
      </c>
      <c r="F29" s="1"/>
      <c r="G29" t="s">
        <v>73</v>
      </c>
      <c r="H29" t="s">
        <v>74</v>
      </c>
      <c r="I29" t="s">
        <v>17</v>
      </c>
      <c r="J29" t="s">
        <v>17</v>
      </c>
      <c r="K29" t="s">
        <v>17</v>
      </c>
      <c r="L29" t="s">
        <v>17</v>
      </c>
      <c r="M29" t="s">
        <v>21</v>
      </c>
    </row>
    <row r="30" spans="1:13" x14ac:dyDescent="0.3">
      <c r="A30">
        <v>29</v>
      </c>
      <c r="B30" s="1">
        <v>46069.643645833297</v>
      </c>
      <c r="C30" s="1">
        <v>46069.644236111097</v>
      </c>
      <c r="D30" t="s">
        <v>13</v>
      </c>
      <c r="F30" s="1"/>
      <c r="G30" t="s">
        <v>75</v>
      </c>
      <c r="H30" t="s">
        <v>76</v>
      </c>
      <c r="I30" t="s">
        <v>21</v>
      </c>
      <c r="J30" t="s">
        <v>17</v>
      </c>
      <c r="K30" t="s">
        <v>17</v>
      </c>
      <c r="L30" t="s">
        <v>22</v>
      </c>
      <c r="M30" t="s">
        <v>22</v>
      </c>
    </row>
    <row r="31" spans="1:13" x14ac:dyDescent="0.3">
      <c r="A31">
        <v>30</v>
      </c>
      <c r="B31" s="1">
        <v>46069.643912036998</v>
      </c>
      <c r="C31" s="1">
        <v>46069.644293981502</v>
      </c>
      <c r="D31" t="s">
        <v>13</v>
      </c>
      <c r="F31" s="1"/>
      <c r="G31" t="s">
        <v>77</v>
      </c>
      <c r="H31" t="s">
        <v>78</v>
      </c>
      <c r="I31" t="s">
        <v>17</v>
      </c>
      <c r="J31" t="s">
        <v>17</v>
      </c>
      <c r="K31" t="s">
        <v>17</v>
      </c>
      <c r="L31" t="s">
        <v>17</v>
      </c>
      <c r="M31" t="s">
        <v>21</v>
      </c>
    </row>
    <row r="32" spans="1:13" x14ac:dyDescent="0.3">
      <c r="A32">
        <v>31</v>
      </c>
      <c r="B32" s="1">
        <v>46069.643043981501</v>
      </c>
      <c r="C32" s="1">
        <v>46069.644803240699</v>
      </c>
      <c r="D32" t="s">
        <v>13</v>
      </c>
      <c r="F32" s="1"/>
      <c r="G32" t="s">
        <v>79</v>
      </c>
      <c r="H32" s="2" t="s">
        <v>80</v>
      </c>
      <c r="I32" t="s">
        <v>22</v>
      </c>
      <c r="J32" t="s">
        <v>17</v>
      </c>
      <c r="K32" t="s">
        <v>21</v>
      </c>
      <c r="L32" t="s">
        <v>22</v>
      </c>
      <c r="M32" t="s">
        <v>21</v>
      </c>
    </row>
    <row r="33" spans="1:13" x14ac:dyDescent="0.3">
      <c r="A33">
        <v>32</v>
      </c>
      <c r="B33" s="1">
        <v>46069.643715277802</v>
      </c>
      <c r="C33" s="1">
        <v>46069.645428240699</v>
      </c>
      <c r="D33" t="s">
        <v>13</v>
      </c>
      <c r="F33" s="1"/>
      <c r="G33" t="s">
        <v>81</v>
      </c>
      <c r="H33" t="s">
        <v>82</v>
      </c>
      <c r="I33" t="s">
        <v>22</v>
      </c>
      <c r="J33" t="s">
        <v>21</v>
      </c>
      <c r="K33" t="s">
        <v>21</v>
      </c>
      <c r="L33" t="s">
        <v>17</v>
      </c>
      <c r="M33" t="s">
        <v>21</v>
      </c>
    </row>
    <row r="34" spans="1:13" x14ac:dyDescent="0.3">
      <c r="A34">
        <v>33</v>
      </c>
      <c r="B34" s="1">
        <v>46069.645115740699</v>
      </c>
      <c r="C34" s="1">
        <v>46069.645601851902</v>
      </c>
      <c r="D34" t="s">
        <v>13</v>
      </c>
      <c r="F34" s="1"/>
      <c r="G34" t="s">
        <v>83</v>
      </c>
      <c r="H34" s="2" t="s">
        <v>84</v>
      </c>
      <c r="I34" t="s">
        <v>22</v>
      </c>
      <c r="J34" t="s">
        <v>17</v>
      </c>
      <c r="K34" t="s">
        <v>21</v>
      </c>
      <c r="L34" t="s">
        <v>22</v>
      </c>
      <c r="M34" t="s">
        <v>21</v>
      </c>
    </row>
    <row r="35" spans="1:13" x14ac:dyDescent="0.3">
      <c r="A35">
        <v>34</v>
      </c>
      <c r="B35" s="1">
        <v>46069.643414351798</v>
      </c>
      <c r="C35" s="1">
        <v>46069.645682870403</v>
      </c>
      <c r="D35" t="s">
        <v>13</v>
      </c>
      <c r="F35" s="1"/>
      <c r="G35" t="s">
        <v>85</v>
      </c>
      <c r="H35" t="s">
        <v>86</v>
      </c>
      <c r="I35" t="s">
        <v>22</v>
      </c>
      <c r="J35" t="s">
        <v>21</v>
      </c>
      <c r="K35" t="s">
        <v>22</v>
      </c>
      <c r="L35" t="s">
        <v>22</v>
      </c>
      <c r="M35" t="s">
        <v>22</v>
      </c>
    </row>
    <row r="36" spans="1:13" x14ac:dyDescent="0.3">
      <c r="A36">
        <v>35</v>
      </c>
      <c r="B36" s="1">
        <v>46069.645844907398</v>
      </c>
      <c r="C36" s="1">
        <v>46069.646851851903</v>
      </c>
      <c r="D36" t="s">
        <v>13</v>
      </c>
      <c r="F36" s="1"/>
      <c r="G36" t="s">
        <v>87</v>
      </c>
      <c r="H36" t="s">
        <v>88</v>
      </c>
      <c r="I36" t="s">
        <v>22</v>
      </c>
      <c r="J36" t="s">
        <v>17</v>
      </c>
      <c r="K36" t="s">
        <v>17</v>
      </c>
      <c r="L36" t="s">
        <v>17</v>
      </c>
      <c r="M36" t="s">
        <v>22</v>
      </c>
    </row>
    <row r="37" spans="1:13" x14ac:dyDescent="0.3">
      <c r="A37">
        <v>36</v>
      </c>
      <c r="B37" s="1">
        <v>46069.646782407399</v>
      </c>
      <c r="C37" s="1">
        <v>46069.6480324074</v>
      </c>
      <c r="D37" t="s">
        <v>13</v>
      </c>
      <c r="F37" s="1"/>
      <c r="G37" t="s">
        <v>89</v>
      </c>
      <c r="H37" t="s">
        <v>90</v>
      </c>
      <c r="I37" t="s">
        <v>17</v>
      </c>
      <c r="J37" t="s">
        <v>17</v>
      </c>
      <c r="K37" t="s">
        <v>21</v>
      </c>
      <c r="L37" t="s">
        <v>22</v>
      </c>
      <c r="M37" t="s">
        <v>22</v>
      </c>
    </row>
    <row r="38" spans="1:13" x14ac:dyDescent="0.3">
      <c r="A38">
        <v>37</v>
      </c>
      <c r="B38" s="1">
        <v>46069.645520833299</v>
      </c>
      <c r="C38" s="1">
        <v>46069.648148148102</v>
      </c>
      <c r="D38" t="s">
        <v>13</v>
      </c>
      <c r="F38" s="1"/>
      <c r="G38" t="s">
        <v>91</v>
      </c>
      <c r="H38" t="s">
        <v>92</v>
      </c>
      <c r="I38" t="s">
        <v>22</v>
      </c>
      <c r="J38" t="s">
        <v>17</v>
      </c>
      <c r="K38" t="s">
        <v>21</v>
      </c>
      <c r="L38" t="s">
        <v>21</v>
      </c>
      <c r="M38" t="s">
        <v>21</v>
      </c>
    </row>
    <row r="39" spans="1:13" x14ac:dyDescent="0.3">
      <c r="A39">
        <v>38</v>
      </c>
      <c r="B39" s="1">
        <v>46069.649664351797</v>
      </c>
      <c r="C39" s="1">
        <v>46069.651041666701</v>
      </c>
      <c r="D39" t="s">
        <v>13</v>
      </c>
      <c r="F39" s="1"/>
      <c r="G39" t="s">
        <v>93</v>
      </c>
      <c r="H39" t="s">
        <v>94</v>
      </c>
      <c r="I39" t="s">
        <v>22</v>
      </c>
      <c r="J39" t="s">
        <v>17</v>
      </c>
      <c r="K39" t="s">
        <v>21</v>
      </c>
      <c r="L39" t="s">
        <v>17</v>
      </c>
      <c r="M39" t="s">
        <v>21</v>
      </c>
    </row>
    <row r="40" spans="1:13" x14ac:dyDescent="0.3">
      <c r="A40">
        <v>39</v>
      </c>
      <c r="B40" s="1">
        <v>46069.651273148098</v>
      </c>
      <c r="C40" s="1">
        <v>46069.651817129597</v>
      </c>
      <c r="D40" t="s">
        <v>13</v>
      </c>
      <c r="F40" s="1"/>
      <c r="G40" t="s">
        <v>95</v>
      </c>
      <c r="H40" t="s">
        <v>96</v>
      </c>
      <c r="I40" t="s">
        <v>22</v>
      </c>
      <c r="J40" t="s">
        <v>17</v>
      </c>
      <c r="K40" t="s">
        <v>21</v>
      </c>
      <c r="L40" t="s">
        <v>17</v>
      </c>
      <c r="M40" t="s">
        <v>21</v>
      </c>
    </row>
    <row r="41" spans="1:13" x14ac:dyDescent="0.3">
      <c r="A41">
        <v>40</v>
      </c>
      <c r="B41" s="1">
        <v>46069.645150463002</v>
      </c>
      <c r="C41" s="1">
        <v>46069.651967592603</v>
      </c>
      <c r="D41" t="s">
        <v>13</v>
      </c>
      <c r="F41" s="1"/>
      <c r="G41" t="s">
        <v>97</v>
      </c>
      <c r="H41" t="s">
        <v>98</v>
      </c>
      <c r="I41" t="s">
        <v>17</v>
      </c>
      <c r="J41" t="s">
        <v>17</v>
      </c>
      <c r="K41" t="s">
        <v>21</v>
      </c>
      <c r="L41" t="s">
        <v>17</v>
      </c>
      <c r="M41" t="s">
        <v>21</v>
      </c>
    </row>
    <row r="42" spans="1:13" x14ac:dyDescent="0.3">
      <c r="A42">
        <v>41</v>
      </c>
      <c r="B42" s="1">
        <v>46069.652800925898</v>
      </c>
      <c r="C42" s="1">
        <v>46069.653749999998</v>
      </c>
      <c r="D42" t="s">
        <v>13</v>
      </c>
      <c r="F42" s="1"/>
      <c r="G42" t="s">
        <v>99</v>
      </c>
      <c r="H42" t="s">
        <v>100</v>
      </c>
      <c r="I42" t="s">
        <v>22</v>
      </c>
      <c r="J42" t="s">
        <v>22</v>
      </c>
      <c r="K42" t="s">
        <v>17</v>
      </c>
      <c r="L42" t="s">
        <v>17</v>
      </c>
      <c r="M42" t="s">
        <v>21</v>
      </c>
    </row>
    <row r="43" spans="1:13" x14ac:dyDescent="0.3">
      <c r="A43">
        <v>42</v>
      </c>
      <c r="B43" s="1">
        <v>46069.652777777803</v>
      </c>
      <c r="C43" s="1">
        <v>46069.654155092598</v>
      </c>
      <c r="D43" t="s">
        <v>13</v>
      </c>
      <c r="F43" s="1"/>
      <c r="G43" t="s">
        <v>101</v>
      </c>
      <c r="H43" t="s">
        <v>102</v>
      </c>
      <c r="I43" t="s">
        <v>17</v>
      </c>
      <c r="J43" t="s">
        <v>21</v>
      </c>
      <c r="K43" t="s">
        <v>17</v>
      </c>
      <c r="L43" t="s">
        <v>17</v>
      </c>
      <c r="M43" t="s">
        <v>22</v>
      </c>
    </row>
    <row r="44" spans="1:13" x14ac:dyDescent="0.3">
      <c r="A44">
        <v>43</v>
      </c>
      <c r="B44" s="1">
        <v>46069.654282407399</v>
      </c>
      <c r="C44" s="1">
        <v>46069.655023148101</v>
      </c>
      <c r="D44" t="s">
        <v>13</v>
      </c>
      <c r="F44" s="1"/>
      <c r="G44" t="s">
        <v>103</v>
      </c>
      <c r="H44" t="s">
        <v>104</v>
      </c>
      <c r="I44" t="s">
        <v>22</v>
      </c>
      <c r="J44" t="s">
        <v>22</v>
      </c>
      <c r="K44" t="s">
        <v>21</v>
      </c>
      <c r="L44" t="s">
        <v>21</v>
      </c>
      <c r="M44" t="s">
        <v>21</v>
      </c>
    </row>
    <row r="45" spans="1:13" x14ac:dyDescent="0.3">
      <c r="A45">
        <v>44</v>
      </c>
      <c r="B45" s="1">
        <v>46069.654340277797</v>
      </c>
      <c r="C45" s="1">
        <v>46069.655057870397</v>
      </c>
      <c r="D45" t="s">
        <v>13</v>
      </c>
      <c r="F45" s="1"/>
      <c r="G45" t="s">
        <v>105</v>
      </c>
      <c r="H45" t="s">
        <v>106</v>
      </c>
      <c r="I45" t="s">
        <v>22</v>
      </c>
      <c r="J45" t="s">
        <v>17</v>
      </c>
      <c r="K45" t="s">
        <v>21</v>
      </c>
      <c r="L45" t="s">
        <v>17</v>
      </c>
      <c r="M45" t="s">
        <v>21</v>
      </c>
    </row>
    <row r="46" spans="1:13" x14ac:dyDescent="0.3">
      <c r="A46">
        <v>45</v>
      </c>
      <c r="B46" s="1">
        <v>46069.652037036998</v>
      </c>
      <c r="C46" s="1">
        <v>46069.655243055597</v>
      </c>
      <c r="D46" t="s">
        <v>13</v>
      </c>
      <c r="F46" s="1"/>
      <c r="G46" t="s">
        <v>107</v>
      </c>
      <c r="H46" t="s">
        <v>108</v>
      </c>
      <c r="I46" t="s">
        <v>21</v>
      </c>
      <c r="J46" t="s">
        <v>17</v>
      </c>
      <c r="K46" t="s">
        <v>21</v>
      </c>
      <c r="L46" t="s">
        <v>17</v>
      </c>
      <c r="M46" t="s">
        <v>21</v>
      </c>
    </row>
    <row r="47" spans="1:13" x14ac:dyDescent="0.3">
      <c r="A47">
        <v>46</v>
      </c>
      <c r="B47" s="1">
        <v>46069.656261574099</v>
      </c>
      <c r="C47" s="1">
        <v>46069.657708333303</v>
      </c>
      <c r="D47" t="s">
        <v>13</v>
      </c>
      <c r="F47" s="1"/>
      <c r="G47" t="s">
        <v>109</v>
      </c>
      <c r="H47" t="s">
        <v>110</v>
      </c>
      <c r="I47" t="s">
        <v>22</v>
      </c>
      <c r="J47" t="s">
        <v>17</v>
      </c>
      <c r="K47" t="s">
        <v>21</v>
      </c>
      <c r="L47" t="s">
        <v>17</v>
      </c>
      <c r="M47" t="s">
        <v>22</v>
      </c>
    </row>
    <row r="48" spans="1:13" x14ac:dyDescent="0.3">
      <c r="A48">
        <v>47</v>
      </c>
      <c r="B48" s="1">
        <v>46069.6557986111</v>
      </c>
      <c r="C48" s="1">
        <v>46069.657800925903</v>
      </c>
      <c r="D48" t="s">
        <v>13</v>
      </c>
      <c r="F48" s="1"/>
      <c r="G48" t="s">
        <v>111</v>
      </c>
      <c r="H48" t="s">
        <v>112</v>
      </c>
      <c r="I48" t="s">
        <v>22</v>
      </c>
      <c r="J48" t="s">
        <v>17</v>
      </c>
      <c r="K48" t="s">
        <v>21</v>
      </c>
      <c r="L48" t="s">
        <v>21</v>
      </c>
      <c r="M48" t="s">
        <v>21</v>
      </c>
    </row>
    <row r="49" spans="1:13" x14ac:dyDescent="0.3">
      <c r="A49">
        <v>48</v>
      </c>
      <c r="B49" s="1">
        <v>46069.657986111102</v>
      </c>
      <c r="C49" s="1">
        <v>46069.661400463003</v>
      </c>
      <c r="D49" t="s">
        <v>13</v>
      </c>
      <c r="F49" s="1"/>
      <c r="G49" t="s">
        <v>113</v>
      </c>
      <c r="H49" s="2" t="s">
        <v>114</v>
      </c>
      <c r="I49" t="s">
        <v>22</v>
      </c>
      <c r="J49" t="s">
        <v>17</v>
      </c>
      <c r="K49" t="s">
        <v>21</v>
      </c>
      <c r="L49" t="s">
        <v>22</v>
      </c>
      <c r="M49" t="s">
        <v>21</v>
      </c>
    </row>
    <row r="50" spans="1:13" x14ac:dyDescent="0.3">
      <c r="A50">
        <v>49</v>
      </c>
      <c r="B50" s="1">
        <v>46069.662430555603</v>
      </c>
      <c r="C50" s="1">
        <v>46069.663692129601</v>
      </c>
      <c r="D50" t="s">
        <v>13</v>
      </c>
      <c r="F50" s="1"/>
      <c r="G50" t="s">
        <v>115</v>
      </c>
      <c r="H50" t="s">
        <v>116</v>
      </c>
      <c r="I50" t="s">
        <v>22</v>
      </c>
      <c r="J50" t="s">
        <v>17</v>
      </c>
      <c r="K50" t="s">
        <v>17</v>
      </c>
      <c r="L50" t="s">
        <v>17</v>
      </c>
      <c r="M50" t="s">
        <v>21</v>
      </c>
    </row>
    <row r="51" spans="1:13" x14ac:dyDescent="0.3">
      <c r="A51">
        <v>50</v>
      </c>
      <c r="B51" s="1">
        <v>46069.663541666698</v>
      </c>
      <c r="C51" s="1">
        <v>46069.664791666699</v>
      </c>
      <c r="D51" t="s">
        <v>13</v>
      </c>
      <c r="F51" s="1"/>
      <c r="G51" t="s">
        <v>117</v>
      </c>
      <c r="H51" s="2" t="s">
        <v>118</v>
      </c>
      <c r="I51" t="s">
        <v>22</v>
      </c>
      <c r="J51" t="s">
        <v>22</v>
      </c>
      <c r="K51" t="s">
        <v>21</v>
      </c>
      <c r="L51" t="s">
        <v>17</v>
      </c>
      <c r="M51" t="s">
        <v>21</v>
      </c>
    </row>
    <row r="52" spans="1:13" x14ac:dyDescent="0.3">
      <c r="A52">
        <v>51</v>
      </c>
      <c r="B52" s="1">
        <v>46069.664664351803</v>
      </c>
      <c r="C52" s="1">
        <v>46069.6657291667</v>
      </c>
      <c r="D52" t="s">
        <v>13</v>
      </c>
      <c r="F52" s="1"/>
      <c r="G52" t="s">
        <v>119</v>
      </c>
      <c r="H52" s="2" t="s">
        <v>120</v>
      </c>
      <c r="I52" t="s">
        <v>17</v>
      </c>
      <c r="J52" t="s">
        <v>17</v>
      </c>
      <c r="K52" t="s">
        <v>17</v>
      </c>
      <c r="L52" t="s">
        <v>22</v>
      </c>
      <c r="M52" t="s">
        <v>22</v>
      </c>
    </row>
    <row r="53" spans="1:13" x14ac:dyDescent="0.3">
      <c r="A53">
        <v>52</v>
      </c>
      <c r="B53" s="1">
        <v>46069.666701388902</v>
      </c>
      <c r="C53" s="1">
        <v>46069.669282407398</v>
      </c>
      <c r="D53" t="s">
        <v>13</v>
      </c>
      <c r="F53" s="1"/>
      <c r="G53" t="s">
        <v>121</v>
      </c>
      <c r="H53" s="2" t="s">
        <v>122</v>
      </c>
      <c r="I53" t="s">
        <v>16</v>
      </c>
      <c r="J53" t="s">
        <v>17</v>
      </c>
      <c r="K53" t="s">
        <v>21</v>
      </c>
      <c r="L53" t="s">
        <v>17</v>
      </c>
      <c r="M53" t="s">
        <v>21</v>
      </c>
    </row>
    <row r="54" spans="1:13" x14ac:dyDescent="0.3">
      <c r="A54">
        <v>53</v>
      </c>
      <c r="B54" s="1">
        <v>46069.6688194444</v>
      </c>
      <c r="C54" s="1">
        <v>46069.669849537</v>
      </c>
      <c r="D54" t="s">
        <v>13</v>
      </c>
      <c r="F54" s="1"/>
      <c r="G54" t="s">
        <v>123</v>
      </c>
      <c r="H54" s="2" t="s">
        <v>124</v>
      </c>
      <c r="I54" t="s">
        <v>17</v>
      </c>
      <c r="J54" t="s">
        <v>22</v>
      </c>
      <c r="K54" t="s">
        <v>17</v>
      </c>
      <c r="L54" t="s">
        <v>17</v>
      </c>
      <c r="M54" t="s">
        <v>22</v>
      </c>
    </row>
    <row r="55" spans="1:13" x14ac:dyDescent="0.3">
      <c r="A55">
        <v>54</v>
      </c>
      <c r="B55" s="1">
        <v>46069.668310185203</v>
      </c>
      <c r="C55" s="1">
        <v>46069.674085648097</v>
      </c>
      <c r="D55" t="s">
        <v>13</v>
      </c>
      <c r="F55" s="1"/>
      <c r="G55" t="s">
        <v>125</v>
      </c>
      <c r="H55" s="2" t="s">
        <v>126</v>
      </c>
      <c r="I55" t="s">
        <v>22</v>
      </c>
      <c r="J55" t="s">
        <v>21</v>
      </c>
      <c r="K55" t="s">
        <v>21</v>
      </c>
      <c r="L55" t="s">
        <v>21</v>
      </c>
      <c r="M55" t="s">
        <v>22</v>
      </c>
    </row>
    <row r="56" spans="1:13" x14ac:dyDescent="0.3">
      <c r="A56">
        <v>55</v>
      </c>
      <c r="B56" s="1">
        <v>46069.676215277803</v>
      </c>
      <c r="C56" s="1">
        <v>46069.6769907407</v>
      </c>
      <c r="D56" t="s">
        <v>13</v>
      </c>
      <c r="F56" s="1"/>
      <c r="G56" t="s">
        <v>127</v>
      </c>
      <c r="H56" t="s">
        <v>128</v>
      </c>
      <c r="I56" t="s">
        <v>22</v>
      </c>
      <c r="J56" t="s">
        <v>21</v>
      </c>
      <c r="K56" t="s">
        <v>21</v>
      </c>
      <c r="L56" t="s">
        <v>21</v>
      </c>
      <c r="M56" t="s">
        <v>21</v>
      </c>
    </row>
    <row r="57" spans="1:13" x14ac:dyDescent="0.3">
      <c r="A57">
        <v>56</v>
      </c>
      <c r="B57" s="1">
        <v>46069.677152777796</v>
      </c>
      <c r="C57" s="1">
        <v>46069.6776157407</v>
      </c>
      <c r="D57" t="s">
        <v>13</v>
      </c>
      <c r="F57" s="1"/>
      <c r="G57" t="s">
        <v>129</v>
      </c>
      <c r="H57" t="s">
        <v>130</v>
      </c>
      <c r="I57" t="s">
        <v>22</v>
      </c>
      <c r="J57" t="s">
        <v>21</v>
      </c>
      <c r="K57" t="s">
        <v>21</v>
      </c>
      <c r="L57" t="s">
        <v>21</v>
      </c>
      <c r="M57" t="s">
        <v>22</v>
      </c>
    </row>
    <row r="58" spans="1:13" x14ac:dyDescent="0.3">
      <c r="A58">
        <v>57</v>
      </c>
      <c r="B58" s="1">
        <v>46069.675775463002</v>
      </c>
      <c r="C58" s="1">
        <v>46069.677928240701</v>
      </c>
      <c r="D58" t="s">
        <v>13</v>
      </c>
      <c r="F58" s="1"/>
      <c r="G58" t="s">
        <v>131</v>
      </c>
      <c r="H58" s="2" t="s">
        <v>132</v>
      </c>
      <c r="I58" t="s">
        <v>22</v>
      </c>
      <c r="J58" t="s">
        <v>21</v>
      </c>
      <c r="K58" t="s">
        <v>21</v>
      </c>
      <c r="L58" t="s">
        <v>17</v>
      </c>
      <c r="M58" t="s">
        <v>22</v>
      </c>
    </row>
    <row r="59" spans="1:13" x14ac:dyDescent="0.3">
      <c r="A59">
        <v>58</v>
      </c>
      <c r="B59" s="1">
        <v>46069.686099537001</v>
      </c>
      <c r="C59" s="1">
        <v>46069.687106481499</v>
      </c>
      <c r="D59" t="s">
        <v>13</v>
      </c>
      <c r="F59" s="1"/>
      <c r="G59" t="s">
        <v>133</v>
      </c>
      <c r="H59" t="s">
        <v>134</v>
      </c>
      <c r="I59" t="s">
        <v>22</v>
      </c>
      <c r="J59" t="s">
        <v>17</v>
      </c>
      <c r="K59" t="s">
        <v>17</v>
      </c>
      <c r="L59" t="s">
        <v>22</v>
      </c>
      <c r="M59" t="s">
        <v>21</v>
      </c>
    </row>
    <row r="60" spans="1:13" x14ac:dyDescent="0.3">
      <c r="A60">
        <v>59</v>
      </c>
      <c r="B60" s="1">
        <v>46069.6869560185</v>
      </c>
      <c r="C60" s="1">
        <v>46069.688379629602</v>
      </c>
      <c r="D60" t="s">
        <v>13</v>
      </c>
      <c r="F60" s="1"/>
      <c r="G60" t="s">
        <v>135</v>
      </c>
      <c r="H60" t="s">
        <v>136</v>
      </c>
      <c r="I60" t="s">
        <v>17</v>
      </c>
      <c r="J60" t="s">
        <v>21</v>
      </c>
      <c r="K60" t="s">
        <v>17</v>
      </c>
      <c r="L60" t="s">
        <v>17</v>
      </c>
      <c r="M60" t="s">
        <v>21</v>
      </c>
    </row>
    <row r="61" spans="1:13" x14ac:dyDescent="0.3">
      <c r="A61">
        <v>60</v>
      </c>
      <c r="B61" s="1">
        <v>46069.687280092599</v>
      </c>
      <c r="C61" s="1">
        <v>46069.688460648104</v>
      </c>
      <c r="D61" t="s">
        <v>13</v>
      </c>
      <c r="F61" s="1"/>
      <c r="G61" t="s">
        <v>137</v>
      </c>
      <c r="H61" t="s">
        <v>138</v>
      </c>
      <c r="I61" t="s">
        <v>22</v>
      </c>
      <c r="J61" t="s">
        <v>17</v>
      </c>
      <c r="K61" t="s">
        <v>21</v>
      </c>
      <c r="L61" t="s">
        <v>21</v>
      </c>
      <c r="M61" t="s">
        <v>21</v>
      </c>
    </row>
    <row r="62" spans="1:13" x14ac:dyDescent="0.3">
      <c r="A62">
        <v>61</v>
      </c>
      <c r="B62" s="1">
        <v>46069.693483796298</v>
      </c>
      <c r="C62" s="1">
        <v>46069.693969907399</v>
      </c>
      <c r="D62" t="s">
        <v>13</v>
      </c>
      <c r="F62" s="1"/>
      <c r="G62" t="s">
        <v>139</v>
      </c>
      <c r="H62" t="s">
        <v>140</v>
      </c>
      <c r="I62" t="s">
        <v>16</v>
      </c>
      <c r="J62" t="s">
        <v>17</v>
      </c>
      <c r="K62" t="s">
        <v>18</v>
      </c>
      <c r="L62" t="s">
        <v>16</v>
      </c>
      <c r="M62" t="s">
        <v>16</v>
      </c>
    </row>
    <row r="63" spans="1:13" x14ac:dyDescent="0.3">
      <c r="A63">
        <v>62</v>
      </c>
      <c r="B63" s="1">
        <v>46069.697708333297</v>
      </c>
      <c r="C63" s="1">
        <v>46069.699328703697</v>
      </c>
      <c r="D63" t="s">
        <v>13</v>
      </c>
      <c r="F63" s="1"/>
      <c r="G63" t="s">
        <v>141</v>
      </c>
      <c r="H63" t="s">
        <v>142</v>
      </c>
      <c r="I63" t="s">
        <v>17</v>
      </c>
      <c r="J63" t="s">
        <v>17</v>
      </c>
      <c r="K63" t="s">
        <v>21</v>
      </c>
      <c r="L63" t="s">
        <v>17</v>
      </c>
      <c r="M63" t="s">
        <v>22</v>
      </c>
    </row>
    <row r="64" spans="1:13" x14ac:dyDescent="0.3">
      <c r="A64">
        <v>63</v>
      </c>
      <c r="B64" s="1">
        <v>46069.710185185198</v>
      </c>
      <c r="C64" s="1">
        <v>46069.711620370399</v>
      </c>
      <c r="D64" t="s">
        <v>13</v>
      </c>
      <c r="F64" s="1"/>
      <c r="G64" t="s">
        <v>143</v>
      </c>
      <c r="H64" t="s">
        <v>144</v>
      </c>
      <c r="I64" t="s">
        <v>21</v>
      </c>
      <c r="J64" t="s">
        <v>21</v>
      </c>
      <c r="K64" t="s">
        <v>17</v>
      </c>
      <c r="L64" t="s">
        <v>17</v>
      </c>
      <c r="M64" t="s">
        <v>21</v>
      </c>
    </row>
    <row r="65" spans="1:13" x14ac:dyDescent="0.3">
      <c r="A65">
        <v>64</v>
      </c>
      <c r="B65" s="1">
        <v>46069.7194212963</v>
      </c>
      <c r="C65" s="1">
        <v>46069.720856481501</v>
      </c>
      <c r="D65" t="s">
        <v>13</v>
      </c>
      <c r="F65" s="1"/>
      <c r="G65" t="s">
        <v>145</v>
      </c>
      <c r="H65" t="s">
        <v>146</v>
      </c>
      <c r="I65" t="s">
        <v>17</v>
      </c>
      <c r="J65" t="s">
        <v>17</v>
      </c>
      <c r="K65" t="s">
        <v>21</v>
      </c>
      <c r="L65" t="s">
        <v>22</v>
      </c>
      <c r="M65" t="s">
        <v>22</v>
      </c>
    </row>
    <row r="66" spans="1:13" x14ac:dyDescent="0.3">
      <c r="A66">
        <v>65</v>
      </c>
      <c r="B66" s="1">
        <v>46069.742303240702</v>
      </c>
      <c r="C66" s="1">
        <v>46069.743194444403</v>
      </c>
      <c r="D66" t="s">
        <v>13</v>
      </c>
      <c r="F66" s="1"/>
      <c r="G66" t="s">
        <v>147</v>
      </c>
      <c r="H66" t="s">
        <v>148</v>
      </c>
      <c r="I66" t="s">
        <v>22</v>
      </c>
      <c r="J66" t="s">
        <v>17</v>
      </c>
      <c r="K66" t="s">
        <v>17</v>
      </c>
      <c r="L66" t="s">
        <v>22</v>
      </c>
      <c r="M66" t="s">
        <v>22</v>
      </c>
    </row>
    <row r="67" spans="1:13" x14ac:dyDescent="0.3">
      <c r="A67">
        <v>66</v>
      </c>
      <c r="B67" s="1">
        <v>46069.7430439815</v>
      </c>
      <c r="C67" s="1">
        <v>46069.745069444398</v>
      </c>
      <c r="D67" t="s">
        <v>13</v>
      </c>
      <c r="F67" s="1"/>
      <c r="G67" t="s">
        <v>149</v>
      </c>
      <c r="H67" t="s">
        <v>150</v>
      </c>
      <c r="I67" t="s">
        <v>16</v>
      </c>
      <c r="J67" t="s">
        <v>18</v>
      </c>
      <c r="K67" t="s">
        <v>18</v>
      </c>
      <c r="L67" t="s">
        <v>16</v>
      </c>
      <c r="M67" t="s">
        <v>16</v>
      </c>
    </row>
    <row r="68" spans="1:13" x14ac:dyDescent="0.3">
      <c r="A68">
        <v>67</v>
      </c>
      <c r="B68" s="1">
        <v>46069.750960648104</v>
      </c>
      <c r="C68" s="1">
        <v>46069.7523842593</v>
      </c>
      <c r="D68" t="s">
        <v>13</v>
      </c>
      <c r="F68" s="1"/>
      <c r="G68" t="s">
        <v>151</v>
      </c>
      <c r="H68" s="2" t="s">
        <v>152</v>
      </c>
      <c r="I68" t="s">
        <v>22</v>
      </c>
      <c r="J68" t="s">
        <v>17</v>
      </c>
      <c r="K68" t="s">
        <v>21</v>
      </c>
      <c r="L68" t="s">
        <v>21</v>
      </c>
      <c r="M68" t="s">
        <v>22</v>
      </c>
    </row>
    <row r="69" spans="1:13" x14ac:dyDescent="0.3">
      <c r="A69">
        <v>68</v>
      </c>
      <c r="B69" s="1">
        <v>46069.770578703698</v>
      </c>
      <c r="C69" s="1">
        <v>46069.771087963003</v>
      </c>
      <c r="D69" t="s">
        <v>13</v>
      </c>
      <c r="F69" s="1"/>
      <c r="G69" t="s">
        <v>153</v>
      </c>
      <c r="H69" t="s">
        <v>154</v>
      </c>
      <c r="I69" t="s">
        <v>22</v>
      </c>
      <c r="J69" t="s">
        <v>22</v>
      </c>
      <c r="K69" t="s">
        <v>22</v>
      </c>
      <c r="L69" t="s">
        <v>22</v>
      </c>
      <c r="M69" t="s">
        <v>21</v>
      </c>
    </row>
    <row r="70" spans="1:13" x14ac:dyDescent="0.3">
      <c r="A70">
        <v>69</v>
      </c>
      <c r="B70" s="1">
        <v>46069.772060185198</v>
      </c>
      <c r="C70" s="1">
        <v>46069.772662037001</v>
      </c>
      <c r="D70" t="s">
        <v>13</v>
      </c>
      <c r="F70" s="1"/>
      <c r="G70" t="s">
        <v>155</v>
      </c>
      <c r="H70" t="s">
        <v>156</v>
      </c>
      <c r="I70" t="s">
        <v>22</v>
      </c>
      <c r="J70" t="s">
        <v>17</v>
      </c>
      <c r="K70" t="s">
        <v>21</v>
      </c>
      <c r="L70" t="s">
        <v>22</v>
      </c>
      <c r="M70" t="s">
        <v>22</v>
      </c>
    </row>
    <row r="71" spans="1:13" x14ac:dyDescent="0.3">
      <c r="A71">
        <v>70</v>
      </c>
      <c r="B71" s="1">
        <v>46069.800543981502</v>
      </c>
      <c r="C71" s="1">
        <v>46069.801504629599</v>
      </c>
      <c r="D71" t="s">
        <v>13</v>
      </c>
      <c r="F71" s="1"/>
      <c r="G71" t="s">
        <v>157</v>
      </c>
      <c r="H71" s="2" t="s">
        <v>158</v>
      </c>
      <c r="I71" t="s">
        <v>21</v>
      </c>
      <c r="J71" t="s">
        <v>17</v>
      </c>
      <c r="K71" t="s">
        <v>21</v>
      </c>
      <c r="L71" t="s">
        <v>17</v>
      </c>
      <c r="M71" t="s">
        <v>22</v>
      </c>
    </row>
    <row r="72" spans="1:13" x14ac:dyDescent="0.3">
      <c r="A72">
        <v>71</v>
      </c>
      <c r="B72" s="1">
        <v>46069.802152777796</v>
      </c>
      <c r="C72" s="1">
        <v>46069.803009259304</v>
      </c>
      <c r="D72" t="s">
        <v>13</v>
      </c>
      <c r="F72" s="1"/>
      <c r="G72" t="s">
        <v>159</v>
      </c>
      <c r="H72" t="s">
        <v>160</v>
      </c>
      <c r="I72" t="s">
        <v>22</v>
      </c>
      <c r="J72" t="s">
        <v>17</v>
      </c>
      <c r="K72" t="s">
        <v>21</v>
      </c>
      <c r="L72" t="s">
        <v>17</v>
      </c>
      <c r="M72" t="s">
        <v>22</v>
      </c>
    </row>
    <row r="73" spans="1:13" x14ac:dyDescent="0.3">
      <c r="A73">
        <v>72</v>
      </c>
      <c r="B73" s="1">
        <v>46069.8022106481</v>
      </c>
      <c r="C73" s="1">
        <v>46069.803078703699</v>
      </c>
      <c r="D73" t="s">
        <v>13</v>
      </c>
      <c r="F73" s="1"/>
      <c r="G73" t="s">
        <v>159</v>
      </c>
      <c r="H73" t="s">
        <v>160</v>
      </c>
      <c r="I73" t="s">
        <v>22</v>
      </c>
      <c r="J73" t="s">
        <v>17</v>
      </c>
      <c r="K73" t="s">
        <v>21</v>
      </c>
      <c r="L73" t="s">
        <v>17</v>
      </c>
      <c r="M73" t="s">
        <v>22</v>
      </c>
    </row>
    <row r="74" spans="1:13" x14ac:dyDescent="0.3">
      <c r="A74">
        <v>73</v>
      </c>
      <c r="B74" s="1">
        <v>46069.804490740702</v>
      </c>
      <c r="C74" s="1">
        <v>46069.805034722202</v>
      </c>
      <c r="D74" t="s">
        <v>13</v>
      </c>
      <c r="F74" s="1"/>
      <c r="G74" t="s">
        <v>161</v>
      </c>
      <c r="H74" s="2" t="s">
        <v>162</v>
      </c>
      <c r="I74" t="s">
        <v>16</v>
      </c>
      <c r="J74" t="s">
        <v>18</v>
      </c>
      <c r="K74" t="s">
        <v>18</v>
      </c>
      <c r="L74" t="s">
        <v>16</v>
      </c>
      <c r="M74" t="s">
        <v>16</v>
      </c>
    </row>
    <row r="75" spans="1:13" x14ac:dyDescent="0.3">
      <c r="A75">
        <v>74</v>
      </c>
      <c r="B75" s="1">
        <v>46069.807395833297</v>
      </c>
      <c r="C75" s="1">
        <v>46069.809050925898</v>
      </c>
      <c r="D75" t="s">
        <v>13</v>
      </c>
      <c r="F75" s="1"/>
      <c r="G75" t="s">
        <v>163</v>
      </c>
      <c r="H75" t="s">
        <v>164</v>
      </c>
      <c r="I75" t="s">
        <v>17</v>
      </c>
      <c r="J75" t="s">
        <v>17</v>
      </c>
      <c r="K75" t="s">
        <v>17</v>
      </c>
      <c r="L75" t="s">
        <v>17</v>
      </c>
      <c r="M75" t="s">
        <v>21</v>
      </c>
    </row>
    <row r="76" spans="1:13" x14ac:dyDescent="0.3">
      <c r="A76">
        <v>75</v>
      </c>
      <c r="B76" s="1">
        <v>46069.808263888903</v>
      </c>
      <c r="C76" s="1">
        <v>46069.809074074103</v>
      </c>
      <c r="D76" t="s">
        <v>13</v>
      </c>
      <c r="F76" s="1"/>
      <c r="G76" t="s">
        <v>165</v>
      </c>
      <c r="H76" t="s">
        <v>166</v>
      </c>
      <c r="I76" t="s">
        <v>22</v>
      </c>
      <c r="J76" t="s">
        <v>17</v>
      </c>
      <c r="K76" t="s">
        <v>21</v>
      </c>
      <c r="L76" t="s">
        <v>17</v>
      </c>
      <c r="M76" t="s">
        <v>22</v>
      </c>
    </row>
    <row r="77" spans="1:13" x14ac:dyDescent="0.3">
      <c r="A77">
        <v>76</v>
      </c>
      <c r="B77" s="1">
        <v>46069.820162037002</v>
      </c>
      <c r="C77" s="1">
        <v>46069.821504629603</v>
      </c>
      <c r="D77" t="s">
        <v>13</v>
      </c>
      <c r="F77" s="1"/>
      <c r="G77" t="s">
        <v>167</v>
      </c>
      <c r="H77" t="s">
        <v>168</v>
      </c>
      <c r="I77" t="s">
        <v>22</v>
      </c>
      <c r="J77" t="s">
        <v>17</v>
      </c>
      <c r="K77" t="s">
        <v>21</v>
      </c>
      <c r="L77" t="s">
        <v>21</v>
      </c>
      <c r="M77" t="s">
        <v>22</v>
      </c>
    </row>
    <row r="78" spans="1:13" x14ac:dyDescent="0.3">
      <c r="A78">
        <v>77</v>
      </c>
      <c r="B78" s="1">
        <v>46069.822453703702</v>
      </c>
      <c r="C78" s="1">
        <v>46069.823182870401</v>
      </c>
      <c r="D78" t="s">
        <v>13</v>
      </c>
      <c r="F78" s="1"/>
      <c r="G78" t="s">
        <v>169</v>
      </c>
      <c r="H78" t="s">
        <v>170</v>
      </c>
      <c r="I78" t="s">
        <v>17</v>
      </c>
      <c r="J78" t="s">
        <v>17</v>
      </c>
      <c r="K78" t="s">
        <v>17</v>
      </c>
      <c r="L78" t="s">
        <v>17</v>
      </c>
      <c r="M78" t="s">
        <v>22</v>
      </c>
    </row>
    <row r="79" spans="1:13" x14ac:dyDescent="0.3">
      <c r="A79">
        <v>78</v>
      </c>
      <c r="B79" s="1">
        <v>46069.824641203697</v>
      </c>
      <c r="C79" s="1">
        <v>46069.825624999998</v>
      </c>
      <c r="D79" t="s">
        <v>13</v>
      </c>
      <c r="F79" s="1"/>
      <c r="G79" t="s">
        <v>171</v>
      </c>
      <c r="H79" t="s">
        <v>172</v>
      </c>
      <c r="I79" t="s">
        <v>22</v>
      </c>
      <c r="J79" t="s">
        <v>17</v>
      </c>
      <c r="K79" t="s">
        <v>21</v>
      </c>
      <c r="L79" t="s">
        <v>17</v>
      </c>
      <c r="M79" t="s">
        <v>22</v>
      </c>
    </row>
    <row r="80" spans="1:13" x14ac:dyDescent="0.3">
      <c r="A80">
        <v>79</v>
      </c>
      <c r="B80" s="1">
        <v>46069.794097222199</v>
      </c>
      <c r="C80" s="1">
        <v>46069.832280092603</v>
      </c>
      <c r="D80" t="s">
        <v>13</v>
      </c>
      <c r="F80" s="1"/>
      <c r="G80" t="s">
        <v>173</v>
      </c>
      <c r="H80" t="s">
        <v>174</v>
      </c>
      <c r="I80" t="s">
        <v>17</v>
      </c>
      <c r="J80" t="s">
        <v>17</v>
      </c>
      <c r="K80" t="s">
        <v>17</v>
      </c>
      <c r="L80" t="s">
        <v>17</v>
      </c>
      <c r="M80" t="s">
        <v>21</v>
      </c>
    </row>
    <row r="81" spans="1:13" x14ac:dyDescent="0.3">
      <c r="A81">
        <v>80</v>
      </c>
      <c r="B81" s="1">
        <v>46069.838252314803</v>
      </c>
      <c r="C81" s="1">
        <v>46069.839143518497</v>
      </c>
      <c r="D81" t="s">
        <v>13</v>
      </c>
      <c r="F81" s="1"/>
      <c r="G81" t="s">
        <v>175</v>
      </c>
      <c r="H81" s="2" t="s">
        <v>176</v>
      </c>
      <c r="I81" t="s">
        <v>22</v>
      </c>
      <c r="J81" t="s">
        <v>17</v>
      </c>
      <c r="K81" t="s">
        <v>22</v>
      </c>
      <c r="L81" t="s">
        <v>21</v>
      </c>
      <c r="M81" t="s">
        <v>21</v>
      </c>
    </row>
    <row r="82" spans="1:13" x14ac:dyDescent="0.3">
      <c r="A82">
        <v>81</v>
      </c>
      <c r="B82" s="1">
        <v>46069.843900462998</v>
      </c>
      <c r="C82" s="1">
        <v>46069.844687500001</v>
      </c>
      <c r="D82" t="s">
        <v>13</v>
      </c>
      <c r="F82" s="1"/>
      <c r="G82" t="s">
        <v>177</v>
      </c>
      <c r="H82" t="s">
        <v>178</v>
      </c>
      <c r="I82" t="s">
        <v>22</v>
      </c>
      <c r="J82" t="s">
        <v>21</v>
      </c>
      <c r="K82" t="s">
        <v>22</v>
      </c>
      <c r="L82" t="s">
        <v>21</v>
      </c>
      <c r="M82" t="s">
        <v>21</v>
      </c>
    </row>
    <row r="83" spans="1:13" x14ac:dyDescent="0.3">
      <c r="A83">
        <v>82</v>
      </c>
      <c r="B83" s="1">
        <v>46069.8699305556</v>
      </c>
      <c r="C83" s="1">
        <v>46069.871678240699</v>
      </c>
      <c r="D83" t="s">
        <v>13</v>
      </c>
      <c r="F83" s="1"/>
      <c r="G83" t="s">
        <v>179</v>
      </c>
      <c r="H83" t="s">
        <v>180</v>
      </c>
      <c r="I83" t="s">
        <v>21</v>
      </c>
      <c r="J83" t="s">
        <v>17</v>
      </c>
      <c r="K83" t="s">
        <v>21</v>
      </c>
      <c r="L83" t="s">
        <v>21</v>
      </c>
      <c r="M83" t="s">
        <v>22</v>
      </c>
    </row>
    <row r="84" spans="1:13" x14ac:dyDescent="0.3">
      <c r="A84">
        <v>83</v>
      </c>
      <c r="B84" s="1">
        <v>46069.914120370398</v>
      </c>
      <c r="C84" s="1">
        <v>46069.914756944403</v>
      </c>
      <c r="D84" t="s">
        <v>13</v>
      </c>
      <c r="F84" s="1"/>
      <c r="G84" t="s">
        <v>181</v>
      </c>
      <c r="H84" s="2" t="s">
        <v>182</v>
      </c>
      <c r="I84" t="s">
        <v>22</v>
      </c>
      <c r="J84" t="s">
        <v>22</v>
      </c>
      <c r="K84" t="s">
        <v>21</v>
      </c>
      <c r="L84" t="s">
        <v>22</v>
      </c>
      <c r="M84" t="s">
        <v>21</v>
      </c>
    </row>
    <row r="85" spans="1:13" x14ac:dyDescent="0.3">
      <c r="A85">
        <v>84</v>
      </c>
      <c r="B85" s="1">
        <v>46070.084803240701</v>
      </c>
      <c r="C85" s="1">
        <v>46070.086504629602</v>
      </c>
      <c r="D85" t="s">
        <v>13</v>
      </c>
      <c r="F85" s="1"/>
      <c r="G85" t="s">
        <v>183</v>
      </c>
      <c r="H85" t="s">
        <v>184</v>
      </c>
      <c r="I85" t="s">
        <v>22</v>
      </c>
      <c r="J85" t="s">
        <v>17</v>
      </c>
      <c r="K85" t="s">
        <v>17</v>
      </c>
      <c r="L85" t="s">
        <v>21</v>
      </c>
      <c r="M85" t="s">
        <v>22</v>
      </c>
    </row>
    <row r="86" spans="1:13" x14ac:dyDescent="0.3">
      <c r="A86">
        <v>85</v>
      </c>
      <c r="B86" s="1">
        <v>46070.201979166697</v>
      </c>
      <c r="C86" s="1">
        <v>46070.202789351897</v>
      </c>
      <c r="D86" t="s">
        <v>13</v>
      </c>
      <c r="F86" s="1"/>
      <c r="G86" t="s">
        <v>185</v>
      </c>
      <c r="H86" s="2" t="s">
        <v>186</v>
      </c>
      <c r="I86" t="s">
        <v>22</v>
      </c>
      <c r="J86" t="s">
        <v>17</v>
      </c>
      <c r="K86" t="s">
        <v>21</v>
      </c>
      <c r="L86" t="s">
        <v>21</v>
      </c>
      <c r="M86" t="s">
        <v>22</v>
      </c>
    </row>
    <row r="87" spans="1:13" x14ac:dyDescent="0.3">
      <c r="A87">
        <v>86</v>
      </c>
      <c r="B87" s="1">
        <v>46070.258854166699</v>
      </c>
      <c r="C87" s="1">
        <v>46070.260439814803</v>
      </c>
      <c r="D87" t="s">
        <v>13</v>
      </c>
      <c r="F87" s="1"/>
      <c r="G87" t="s">
        <v>187</v>
      </c>
      <c r="H87" s="2" t="s">
        <v>188</v>
      </c>
      <c r="I87" t="s">
        <v>22</v>
      </c>
      <c r="J87" t="s">
        <v>17</v>
      </c>
      <c r="K87" t="s">
        <v>21</v>
      </c>
      <c r="L87" t="s">
        <v>17</v>
      </c>
      <c r="M87" t="s">
        <v>22</v>
      </c>
    </row>
    <row r="88" spans="1:13" x14ac:dyDescent="0.3">
      <c r="A88">
        <v>87</v>
      </c>
      <c r="B88" s="1">
        <v>46070.280856481499</v>
      </c>
      <c r="C88" s="1">
        <v>46070.282141203701</v>
      </c>
      <c r="D88" t="s">
        <v>13</v>
      </c>
      <c r="F88" s="1"/>
      <c r="G88" t="s">
        <v>189</v>
      </c>
      <c r="H88" s="2" t="s">
        <v>190</v>
      </c>
      <c r="I88" t="s">
        <v>22</v>
      </c>
      <c r="J88" t="s">
        <v>17</v>
      </c>
      <c r="K88" t="s">
        <v>21</v>
      </c>
      <c r="L88" t="s">
        <v>22</v>
      </c>
      <c r="M88" t="s">
        <v>21</v>
      </c>
    </row>
    <row r="89" spans="1:13" x14ac:dyDescent="0.3">
      <c r="A89">
        <v>88</v>
      </c>
      <c r="B89" s="1">
        <v>46070.340868055602</v>
      </c>
      <c r="C89" s="1">
        <v>46070.342997685198</v>
      </c>
      <c r="D89" t="s">
        <v>13</v>
      </c>
      <c r="F89" s="1"/>
      <c r="G89" t="s">
        <v>191</v>
      </c>
      <c r="H89" t="s">
        <v>192</v>
      </c>
      <c r="I89" t="s">
        <v>17</v>
      </c>
      <c r="J89" t="s">
        <v>21</v>
      </c>
      <c r="K89" t="s">
        <v>17</v>
      </c>
      <c r="L89" t="s">
        <v>17</v>
      </c>
      <c r="M89" t="s">
        <v>21</v>
      </c>
    </row>
    <row r="90" spans="1:13" x14ac:dyDescent="0.3">
      <c r="A90">
        <v>89</v>
      </c>
      <c r="B90" s="1">
        <v>46070.384618055599</v>
      </c>
      <c r="C90" s="1">
        <v>46070.385393518503</v>
      </c>
      <c r="D90" t="s">
        <v>13</v>
      </c>
      <c r="F90" s="1"/>
      <c r="G90" t="s">
        <v>193</v>
      </c>
      <c r="H90" t="s">
        <v>194</v>
      </c>
      <c r="I90" t="s">
        <v>17</v>
      </c>
      <c r="J90" t="s">
        <v>22</v>
      </c>
      <c r="K90" t="s">
        <v>17</v>
      </c>
      <c r="L90" t="s">
        <v>17</v>
      </c>
      <c r="M90" t="s">
        <v>22</v>
      </c>
    </row>
    <row r="91" spans="1:13" x14ac:dyDescent="0.3">
      <c r="A91">
        <v>90</v>
      </c>
      <c r="B91" s="1">
        <v>46070.424282407403</v>
      </c>
      <c r="C91" s="1">
        <v>46070.428865740701</v>
      </c>
      <c r="D91" t="s">
        <v>13</v>
      </c>
      <c r="F91" s="1"/>
      <c r="G91" t="s">
        <v>195</v>
      </c>
      <c r="H91" t="s">
        <v>196</v>
      </c>
      <c r="I91" t="s">
        <v>22</v>
      </c>
      <c r="J91" t="s">
        <v>22</v>
      </c>
      <c r="K91" t="s">
        <v>21</v>
      </c>
      <c r="L91" t="s">
        <v>21</v>
      </c>
      <c r="M91" t="s">
        <v>22</v>
      </c>
    </row>
    <row r="92" spans="1:13" x14ac:dyDescent="0.3">
      <c r="A92">
        <v>91</v>
      </c>
      <c r="B92" s="1">
        <v>46070.461643518502</v>
      </c>
      <c r="C92" s="1">
        <v>46070.462708333303</v>
      </c>
      <c r="D92" t="s">
        <v>13</v>
      </c>
      <c r="F92" s="1"/>
      <c r="G92" t="s">
        <v>197</v>
      </c>
      <c r="H92" t="s">
        <v>198</v>
      </c>
      <c r="I92" t="s">
        <v>21</v>
      </c>
      <c r="J92" t="s">
        <v>22</v>
      </c>
      <c r="K92" t="s">
        <v>17</v>
      </c>
      <c r="L92" t="s">
        <v>22</v>
      </c>
      <c r="M92" t="s">
        <v>21</v>
      </c>
    </row>
    <row r="93" spans="1:13" x14ac:dyDescent="0.3">
      <c r="A93">
        <v>92</v>
      </c>
      <c r="B93" s="1">
        <v>46070.480671296304</v>
      </c>
      <c r="C93" s="1">
        <v>46070.4816319444</v>
      </c>
      <c r="D93" t="s">
        <v>13</v>
      </c>
      <c r="F93" s="1"/>
      <c r="G93" t="s">
        <v>199</v>
      </c>
      <c r="H93" t="s">
        <v>200</v>
      </c>
      <c r="I93" t="s">
        <v>22</v>
      </c>
      <c r="J93" t="s">
        <v>17</v>
      </c>
      <c r="K93" t="s">
        <v>21</v>
      </c>
      <c r="L93" t="s">
        <v>21</v>
      </c>
      <c r="M93" t="s">
        <v>21</v>
      </c>
    </row>
    <row r="94" spans="1:13" x14ac:dyDescent="0.3">
      <c r="A94">
        <v>93</v>
      </c>
      <c r="B94" s="1">
        <v>46070.481932870403</v>
      </c>
      <c r="C94" s="1">
        <v>46070.483275462997</v>
      </c>
      <c r="D94" t="s">
        <v>13</v>
      </c>
      <c r="F94" s="1"/>
      <c r="G94" t="s">
        <v>201</v>
      </c>
      <c r="H94" t="s">
        <v>202</v>
      </c>
      <c r="I94" t="s">
        <v>17</v>
      </c>
      <c r="J94" t="s">
        <v>17</v>
      </c>
      <c r="K94" t="s">
        <v>21</v>
      </c>
      <c r="L94" t="s">
        <v>17</v>
      </c>
      <c r="M94" t="s">
        <v>21</v>
      </c>
    </row>
    <row r="95" spans="1:13" x14ac:dyDescent="0.3">
      <c r="A95">
        <v>94</v>
      </c>
      <c r="B95" s="1">
        <v>46070.4981134259</v>
      </c>
      <c r="C95" s="1">
        <v>46070.498912037001</v>
      </c>
      <c r="D95" t="s">
        <v>13</v>
      </c>
      <c r="F95" s="1"/>
      <c r="G95" t="s">
        <v>203</v>
      </c>
      <c r="H95" t="s">
        <v>204</v>
      </c>
      <c r="I95" t="s">
        <v>22</v>
      </c>
      <c r="J95" t="s">
        <v>17</v>
      </c>
      <c r="K95" t="s">
        <v>21</v>
      </c>
      <c r="L95" t="s">
        <v>17</v>
      </c>
      <c r="M95" t="s">
        <v>21</v>
      </c>
    </row>
    <row r="96" spans="1:13" x14ac:dyDescent="0.3">
      <c r="A96">
        <v>95</v>
      </c>
      <c r="B96" s="1">
        <v>46070.532488425903</v>
      </c>
      <c r="C96" s="1">
        <v>46070.533240740697</v>
      </c>
      <c r="D96" t="s">
        <v>13</v>
      </c>
      <c r="F96" s="1"/>
      <c r="G96" t="s">
        <v>205</v>
      </c>
      <c r="H96" t="s">
        <v>206</v>
      </c>
      <c r="I96" t="s">
        <v>17</v>
      </c>
      <c r="J96" t="s">
        <v>17</v>
      </c>
      <c r="K96" t="s">
        <v>21</v>
      </c>
      <c r="L96" t="s">
        <v>17</v>
      </c>
      <c r="M96" t="s">
        <v>22</v>
      </c>
    </row>
    <row r="97" spans="1:13" x14ac:dyDescent="0.3">
      <c r="A97">
        <v>96</v>
      </c>
      <c r="B97" s="1">
        <v>46070.567025463002</v>
      </c>
      <c r="C97" s="1">
        <v>46070.5694560185</v>
      </c>
      <c r="D97" t="s">
        <v>13</v>
      </c>
      <c r="F97" s="1"/>
      <c r="G97" t="s">
        <v>207</v>
      </c>
      <c r="H97" t="s">
        <v>208</v>
      </c>
      <c r="I97" t="s">
        <v>21</v>
      </c>
      <c r="J97" t="s">
        <v>17</v>
      </c>
      <c r="K97" t="s">
        <v>21</v>
      </c>
      <c r="L97" t="s">
        <v>21</v>
      </c>
      <c r="M97" t="s">
        <v>21</v>
      </c>
    </row>
    <row r="98" spans="1:13" x14ac:dyDescent="0.3">
      <c r="A98">
        <v>97</v>
      </c>
      <c r="B98" s="1">
        <v>46070.5828356481</v>
      </c>
      <c r="C98" s="1">
        <v>46070.5838657407</v>
      </c>
      <c r="D98" t="s">
        <v>13</v>
      </c>
      <c r="F98" s="1"/>
      <c r="G98" t="s">
        <v>209</v>
      </c>
      <c r="H98" t="s">
        <v>210</v>
      </c>
      <c r="I98" t="s">
        <v>22</v>
      </c>
      <c r="J98" t="s">
        <v>17</v>
      </c>
      <c r="K98" t="s">
        <v>17</v>
      </c>
      <c r="L98" t="s">
        <v>17</v>
      </c>
      <c r="M98" t="s">
        <v>21</v>
      </c>
    </row>
    <row r="99" spans="1:13" x14ac:dyDescent="0.3">
      <c r="A99">
        <v>98</v>
      </c>
      <c r="B99" s="1">
        <v>46070.632685185199</v>
      </c>
      <c r="C99" s="1">
        <v>46070.6340277778</v>
      </c>
      <c r="D99" t="s">
        <v>13</v>
      </c>
      <c r="F99" s="1"/>
      <c r="G99" t="s">
        <v>211</v>
      </c>
      <c r="H99" t="s">
        <v>212</v>
      </c>
      <c r="I99" t="s">
        <v>17</v>
      </c>
      <c r="J99" t="s">
        <v>17</v>
      </c>
      <c r="K99" t="s">
        <v>21</v>
      </c>
      <c r="L99" t="s">
        <v>17</v>
      </c>
      <c r="M99" t="s">
        <v>21</v>
      </c>
    </row>
    <row r="100" spans="1:13" x14ac:dyDescent="0.3">
      <c r="A100">
        <v>99</v>
      </c>
      <c r="B100" s="1">
        <v>46070.771562499998</v>
      </c>
      <c r="C100" s="1">
        <v>46070.772546296299</v>
      </c>
      <c r="D100" t="s">
        <v>13</v>
      </c>
      <c r="F100" s="1"/>
      <c r="G100" t="s">
        <v>213</v>
      </c>
      <c r="H100" s="2" t="s">
        <v>214</v>
      </c>
      <c r="I100" t="s">
        <v>21</v>
      </c>
      <c r="J100" t="s">
        <v>17</v>
      </c>
      <c r="K100" t="s">
        <v>21</v>
      </c>
      <c r="L100" t="s">
        <v>21</v>
      </c>
      <c r="M100" t="s">
        <v>21</v>
      </c>
    </row>
    <row r="101" spans="1:13" x14ac:dyDescent="0.3">
      <c r="A101">
        <v>100</v>
      </c>
      <c r="B101" s="1">
        <v>46070.786643518499</v>
      </c>
      <c r="C101" s="1">
        <v>46070.787708333301</v>
      </c>
      <c r="D101" t="s">
        <v>13</v>
      </c>
      <c r="F101" s="1"/>
      <c r="G101" t="s">
        <v>215</v>
      </c>
      <c r="H101" s="2" t="s">
        <v>216</v>
      </c>
      <c r="I101" t="s">
        <v>22</v>
      </c>
      <c r="J101" t="s">
        <v>21</v>
      </c>
      <c r="K101" t="s">
        <v>17</v>
      </c>
      <c r="L101" t="s">
        <v>22</v>
      </c>
      <c r="M101" t="s">
        <v>22</v>
      </c>
    </row>
    <row r="102" spans="1:13" x14ac:dyDescent="0.3">
      <c r="A102">
        <v>101</v>
      </c>
      <c r="B102" s="1">
        <v>46070.7862731481</v>
      </c>
      <c r="C102" s="1">
        <v>46070.789050925901</v>
      </c>
      <c r="D102" t="s">
        <v>13</v>
      </c>
      <c r="F102" s="1"/>
      <c r="G102" t="s">
        <v>217</v>
      </c>
      <c r="H102" s="2" t="s">
        <v>218</v>
      </c>
      <c r="I102" t="s">
        <v>22</v>
      </c>
      <c r="J102" t="s">
        <v>17</v>
      </c>
      <c r="K102" t="s">
        <v>17</v>
      </c>
      <c r="L102" t="s">
        <v>22</v>
      </c>
      <c r="M102" t="s">
        <v>22</v>
      </c>
    </row>
    <row r="103" spans="1:13" x14ac:dyDescent="0.3">
      <c r="A103">
        <v>102</v>
      </c>
      <c r="B103" s="1">
        <v>46070.810462963003</v>
      </c>
      <c r="C103" s="1">
        <v>46070.810960648101</v>
      </c>
      <c r="D103" t="s">
        <v>13</v>
      </c>
      <c r="F103" s="1"/>
      <c r="G103" t="s">
        <v>219</v>
      </c>
      <c r="H103" t="s">
        <v>220</v>
      </c>
      <c r="I103" t="s">
        <v>17</v>
      </c>
      <c r="J103" t="s">
        <v>17</v>
      </c>
      <c r="K103" t="s">
        <v>17</v>
      </c>
      <c r="L103" t="s">
        <v>17</v>
      </c>
      <c r="M103" t="s">
        <v>22</v>
      </c>
    </row>
    <row r="104" spans="1:13" x14ac:dyDescent="0.3">
      <c r="A104">
        <v>103</v>
      </c>
      <c r="B104" s="1">
        <v>46070.814710648097</v>
      </c>
      <c r="C104" s="1">
        <v>46070.815509259301</v>
      </c>
      <c r="D104" t="s">
        <v>13</v>
      </c>
      <c r="F104" s="1"/>
      <c r="G104" t="s">
        <v>221</v>
      </c>
      <c r="H104" t="s">
        <v>222</v>
      </c>
      <c r="I104" t="s">
        <v>22</v>
      </c>
      <c r="J104" t="s">
        <v>17</v>
      </c>
      <c r="K104" t="s">
        <v>21</v>
      </c>
      <c r="L104" t="s">
        <v>17</v>
      </c>
      <c r="M104" t="s">
        <v>21</v>
      </c>
    </row>
    <row r="105" spans="1:13" x14ac:dyDescent="0.3">
      <c r="A105">
        <v>104</v>
      </c>
      <c r="B105" s="1">
        <v>46070.818622685198</v>
      </c>
      <c r="C105" s="1">
        <v>46070.8202199074</v>
      </c>
      <c r="D105" t="s">
        <v>13</v>
      </c>
      <c r="F105" s="1"/>
      <c r="G105" t="s">
        <v>223</v>
      </c>
      <c r="H105" t="s">
        <v>224</v>
      </c>
      <c r="I105" t="s">
        <v>17</v>
      </c>
      <c r="J105" t="s">
        <v>21</v>
      </c>
      <c r="K105" t="s">
        <v>17</v>
      </c>
      <c r="L105" t="s">
        <v>17</v>
      </c>
      <c r="M105" t="s">
        <v>21</v>
      </c>
    </row>
    <row r="106" spans="1:13" x14ac:dyDescent="0.3">
      <c r="A106">
        <v>105</v>
      </c>
      <c r="B106" s="1">
        <v>46070.838449074101</v>
      </c>
      <c r="C106" s="1">
        <v>46070.839293981502</v>
      </c>
      <c r="D106" t="s">
        <v>13</v>
      </c>
      <c r="F106" s="1"/>
      <c r="G106" t="s">
        <v>225</v>
      </c>
      <c r="H106" t="s">
        <v>226</v>
      </c>
      <c r="I106" t="s">
        <v>22</v>
      </c>
      <c r="J106" t="s">
        <v>22</v>
      </c>
      <c r="K106" t="s">
        <v>21</v>
      </c>
      <c r="L106" t="s">
        <v>17</v>
      </c>
      <c r="M106" t="s">
        <v>22</v>
      </c>
    </row>
    <row r="107" spans="1:13" x14ac:dyDescent="0.3">
      <c r="A107">
        <v>106</v>
      </c>
      <c r="B107" s="1">
        <v>46071.402789351901</v>
      </c>
      <c r="C107" s="1">
        <v>46071.404166666704</v>
      </c>
      <c r="D107" t="s">
        <v>13</v>
      </c>
      <c r="F107" s="1"/>
      <c r="G107" t="s">
        <v>57</v>
      </c>
      <c r="H107" t="s">
        <v>58</v>
      </c>
      <c r="I107" t="s">
        <v>22</v>
      </c>
      <c r="J107" t="s">
        <v>21</v>
      </c>
      <c r="K107" t="s">
        <v>21</v>
      </c>
      <c r="L107" t="s">
        <v>17</v>
      </c>
      <c r="M107" t="s">
        <v>21</v>
      </c>
    </row>
    <row r="108" spans="1:13" x14ac:dyDescent="0.3">
      <c r="A108">
        <v>107</v>
      </c>
      <c r="B108" s="1">
        <v>46071.405949074098</v>
      </c>
      <c r="C108" s="1">
        <v>46071.407743055599</v>
      </c>
      <c r="D108" t="s">
        <v>13</v>
      </c>
      <c r="F108" s="1"/>
      <c r="G108" t="s">
        <v>227</v>
      </c>
      <c r="H108" t="s">
        <v>228</v>
      </c>
      <c r="I108" t="s">
        <v>22</v>
      </c>
      <c r="J108" t="s">
        <v>17</v>
      </c>
      <c r="K108" t="s">
        <v>21</v>
      </c>
      <c r="L108" t="s">
        <v>22</v>
      </c>
      <c r="M108" t="s">
        <v>21</v>
      </c>
    </row>
    <row r="109" spans="1:13" x14ac:dyDescent="0.3">
      <c r="A109">
        <v>108</v>
      </c>
      <c r="B109" s="1">
        <v>46071.407905092601</v>
      </c>
      <c r="C109" s="1">
        <v>46071.409560185202</v>
      </c>
      <c r="D109" t="s">
        <v>13</v>
      </c>
      <c r="F109" s="1"/>
      <c r="G109" t="s">
        <v>183</v>
      </c>
      <c r="H109" t="s">
        <v>184</v>
      </c>
      <c r="I109" t="s">
        <v>22</v>
      </c>
      <c r="J109" t="s">
        <v>17</v>
      </c>
      <c r="K109" t="s">
        <v>17</v>
      </c>
      <c r="L109" t="s">
        <v>21</v>
      </c>
      <c r="M109" t="s">
        <v>22</v>
      </c>
    </row>
    <row r="110" spans="1:13" x14ac:dyDescent="0.3">
      <c r="A110">
        <v>109</v>
      </c>
      <c r="B110" s="1">
        <v>46071.419236111098</v>
      </c>
      <c r="C110" s="1">
        <v>46071.420486111099</v>
      </c>
      <c r="D110" t="s">
        <v>13</v>
      </c>
      <c r="F110" s="1"/>
      <c r="G110" t="s">
        <v>229</v>
      </c>
      <c r="H110" t="s">
        <v>230</v>
      </c>
      <c r="I110" t="s">
        <v>22</v>
      </c>
      <c r="J110" t="s">
        <v>22</v>
      </c>
      <c r="K110" t="s">
        <v>22</v>
      </c>
      <c r="L110" t="s">
        <v>21</v>
      </c>
      <c r="M110" t="s">
        <v>21</v>
      </c>
    </row>
    <row r="111" spans="1:13" x14ac:dyDescent="0.3">
      <c r="A111">
        <v>110</v>
      </c>
      <c r="B111" s="1">
        <v>46071.434004629598</v>
      </c>
      <c r="C111" s="1">
        <v>46071.434745370403</v>
      </c>
      <c r="D111" t="s">
        <v>13</v>
      </c>
      <c r="F111" s="1"/>
      <c r="G111" t="s">
        <v>231</v>
      </c>
      <c r="H111" t="s">
        <v>232</v>
      </c>
      <c r="I111" t="s">
        <v>22</v>
      </c>
      <c r="J111" t="s">
        <v>21</v>
      </c>
      <c r="K111" t="s">
        <v>22</v>
      </c>
      <c r="L111" t="s">
        <v>22</v>
      </c>
      <c r="M111" t="s">
        <v>21</v>
      </c>
    </row>
    <row r="112" spans="1:13" x14ac:dyDescent="0.3">
      <c r="A112">
        <v>111</v>
      </c>
      <c r="B112" s="1">
        <v>46071.433958333299</v>
      </c>
      <c r="C112" s="1">
        <v>46071.434849537</v>
      </c>
      <c r="D112" t="s">
        <v>13</v>
      </c>
      <c r="F112" s="1"/>
      <c r="G112" t="s">
        <v>233</v>
      </c>
      <c r="H112" t="s">
        <v>234</v>
      </c>
      <c r="I112" t="s">
        <v>22</v>
      </c>
      <c r="J112" t="s">
        <v>21</v>
      </c>
      <c r="K112" t="s">
        <v>21</v>
      </c>
      <c r="L112" t="s">
        <v>21</v>
      </c>
      <c r="M112" t="s">
        <v>22</v>
      </c>
    </row>
    <row r="113" spans="1:13" x14ac:dyDescent="0.3">
      <c r="A113">
        <v>112</v>
      </c>
      <c r="B113" s="1">
        <v>46071.524212962999</v>
      </c>
      <c r="C113" s="1">
        <v>46071.525312500002</v>
      </c>
      <c r="D113" t="s">
        <v>13</v>
      </c>
      <c r="F113" s="1"/>
      <c r="G113" t="s">
        <v>235</v>
      </c>
      <c r="H113" t="s">
        <v>236</v>
      </c>
      <c r="I113" t="s">
        <v>17</v>
      </c>
      <c r="J113" t="s">
        <v>21</v>
      </c>
      <c r="K113" t="s">
        <v>21</v>
      </c>
      <c r="L113" t="s">
        <v>17</v>
      </c>
      <c r="M113" t="s">
        <v>21</v>
      </c>
    </row>
    <row r="114" spans="1:13" x14ac:dyDescent="0.3">
      <c r="A114">
        <v>113</v>
      </c>
      <c r="B114" s="1">
        <v>46071.547719907401</v>
      </c>
      <c r="C114" s="1">
        <v>46071.548310185201</v>
      </c>
      <c r="D114" t="s">
        <v>13</v>
      </c>
      <c r="F114" s="1"/>
      <c r="G114" t="s">
        <v>237</v>
      </c>
      <c r="H114" t="s">
        <v>238</v>
      </c>
      <c r="I114" t="s">
        <v>22</v>
      </c>
      <c r="J114" t="s">
        <v>17</v>
      </c>
      <c r="K114" t="s">
        <v>21</v>
      </c>
      <c r="L114" t="s">
        <v>17</v>
      </c>
      <c r="M114" t="s">
        <v>22</v>
      </c>
    </row>
    <row r="115" spans="1:13" x14ac:dyDescent="0.3">
      <c r="A115">
        <v>114</v>
      </c>
      <c r="B115" s="1">
        <v>46072.512685185196</v>
      </c>
      <c r="C115" s="1">
        <v>46072.514710648102</v>
      </c>
      <c r="D115" t="s">
        <v>13</v>
      </c>
      <c r="F115" s="1"/>
      <c r="G115" t="s">
        <v>239</v>
      </c>
      <c r="H115" s="2" t="s">
        <v>240</v>
      </c>
      <c r="I115" t="s">
        <v>22</v>
      </c>
      <c r="J115" t="s">
        <v>21</v>
      </c>
      <c r="K115" t="s">
        <v>22</v>
      </c>
      <c r="L115" t="s">
        <v>22</v>
      </c>
      <c r="M115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3DF5-74B4-45DB-A6B3-CDE710D25989}">
  <dimension ref="A1:I162"/>
  <sheetViews>
    <sheetView topLeftCell="C1" zoomScale="80" zoomScaleNormal="80" workbookViewId="0">
      <pane ySplit="1" topLeftCell="A140" activePane="bottomLeft" state="frozen"/>
      <selection activeCell="C1" sqref="C1"/>
      <selection pane="bottomLeft" activeCell="C1" sqref="A1:XFD1048576"/>
    </sheetView>
  </sheetViews>
  <sheetFormatPr baseColWidth="10" defaultRowHeight="14.4" x14ac:dyDescent="0.3"/>
  <cols>
    <col min="1" max="1" width="8.88671875" bestFit="1" customWidth="1"/>
    <col min="2" max="2" width="17.88671875" bestFit="1" customWidth="1"/>
    <col min="3" max="3" width="45" bestFit="1" customWidth="1"/>
    <col min="4" max="4" width="31.5546875" style="4" bestFit="1" customWidth="1"/>
    <col min="5" max="5" width="30.44140625" style="4" bestFit="1" customWidth="1"/>
    <col min="6" max="6" width="31.44140625" style="4" bestFit="1" customWidth="1"/>
    <col min="7" max="7" width="31.5546875" style="4" bestFit="1" customWidth="1"/>
    <col min="8" max="8" width="31.88671875" style="4" bestFit="1" customWidth="1"/>
    <col min="9" max="9" width="14.44140625" style="4" customWidth="1"/>
  </cols>
  <sheetData>
    <row r="1" spans="1:9" s="3" customFormat="1" ht="86.4" x14ac:dyDescent="0.3">
      <c r="A1" s="5" t="s">
        <v>0</v>
      </c>
      <c r="B1" s="5" t="s">
        <v>472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466</v>
      </c>
    </row>
    <row r="2" spans="1:9" x14ac:dyDescent="0.3">
      <c r="A2">
        <v>1</v>
      </c>
      <c r="B2" t="s">
        <v>46</v>
      </c>
      <c r="C2" t="s">
        <v>309</v>
      </c>
      <c r="D2" s="4">
        <v>2</v>
      </c>
      <c r="E2" s="4">
        <v>3</v>
      </c>
      <c r="F2" s="4">
        <v>1</v>
      </c>
      <c r="G2" s="4">
        <v>1</v>
      </c>
      <c r="H2" s="4">
        <v>1</v>
      </c>
      <c r="I2" s="4" t="s">
        <v>468</v>
      </c>
    </row>
    <row r="3" spans="1:9" x14ac:dyDescent="0.3">
      <c r="A3">
        <f>+A2+1</f>
        <v>2</v>
      </c>
      <c r="B3" t="s">
        <v>146</v>
      </c>
      <c r="C3" t="s">
        <v>356</v>
      </c>
      <c r="D3" s="4">
        <v>3</v>
      </c>
      <c r="E3" s="4">
        <v>3</v>
      </c>
      <c r="F3" s="4">
        <v>1</v>
      </c>
      <c r="G3" s="4">
        <v>2</v>
      </c>
      <c r="H3" s="4">
        <v>2</v>
      </c>
      <c r="I3" s="4" t="s">
        <v>467</v>
      </c>
    </row>
    <row r="4" spans="1:9" x14ac:dyDescent="0.3">
      <c r="A4">
        <f t="shared" ref="A4:A5" si="0">+A3+1</f>
        <v>3</v>
      </c>
      <c r="B4" t="s">
        <v>88</v>
      </c>
      <c r="C4" t="s">
        <v>329</v>
      </c>
      <c r="D4" s="4">
        <v>2</v>
      </c>
      <c r="E4" s="4">
        <v>3</v>
      </c>
      <c r="F4" s="4">
        <v>3</v>
      </c>
      <c r="G4" s="4">
        <v>3</v>
      </c>
      <c r="H4" s="4">
        <v>2</v>
      </c>
      <c r="I4" s="4" t="s">
        <v>468</v>
      </c>
    </row>
    <row r="5" spans="1:9" x14ac:dyDescent="0.3">
      <c r="A5">
        <f t="shared" si="0"/>
        <v>4</v>
      </c>
      <c r="B5" t="s">
        <v>36</v>
      </c>
      <c r="C5" t="s">
        <v>304</v>
      </c>
      <c r="D5" s="4">
        <v>3</v>
      </c>
      <c r="E5" s="4">
        <v>3</v>
      </c>
      <c r="F5" s="4">
        <v>3</v>
      </c>
      <c r="G5" s="4">
        <v>3</v>
      </c>
      <c r="H5" s="4">
        <v>2</v>
      </c>
      <c r="I5" s="4" t="s">
        <v>469</v>
      </c>
    </row>
    <row r="6" spans="1:9" x14ac:dyDescent="0.3">
      <c r="A6">
        <f>+A5+1</f>
        <v>5</v>
      </c>
      <c r="B6" t="s">
        <v>416</v>
      </c>
      <c r="C6" t="str">
        <f>VLOOKUP(B6,'[1]Base Trab'!$A$3:$B$243,2,0)</f>
        <v>ALARCON SANCHEZ ROSAMEL DEL TRANSITO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 t="s">
        <v>468</v>
      </c>
    </row>
    <row r="7" spans="1:9" x14ac:dyDescent="0.3">
      <c r="A7">
        <f t="shared" ref="A7:A70" si="1">+A6+1</f>
        <v>6</v>
      </c>
      <c r="B7" t="s">
        <v>128</v>
      </c>
      <c r="C7" t="s">
        <v>348</v>
      </c>
      <c r="D7" s="4">
        <v>2</v>
      </c>
      <c r="E7" s="4">
        <v>1</v>
      </c>
      <c r="F7" s="4">
        <v>1</v>
      </c>
      <c r="G7" s="4">
        <v>1</v>
      </c>
      <c r="H7" s="4">
        <v>1</v>
      </c>
      <c r="I7" s="4" t="s">
        <v>468</v>
      </c>
    </row>
    <row r="8" spans="1:9" x14ac:dyDescent="0.3">
      <c r="A8">
        <f t="shared" si="1"/>
        <v>7</v>
      </c>
      <c r="B8" t="s">
        <v>259</v>
      </c>
      <c r="C8" t="s">
        <v>347</v>
      </c>
      <c r="D8" s="4">
        <v>2</v>
      </c>
      <c r="E8" s="4">
        <v>1</v>
      </c>
      <c r="F8" s="4">
        <v>1</v>
      </c>
      <c r="G8" s="4">
        <v>1</v>
      </c>
      <c r="H8" s="4">
        <v>2</v>
      </c>
      <c r="I8" s="4" t="s">
        <v>469</v>
      </c>
    </row>
    <row r="9" spans="1:9" x14ac:dyDescent="0.3">
      <c r="A9">
        <f t="shared" si="1"/>
        <v>8</v>
      </c>
      <c r="B9" t="s">
        <v>270</v>
      </c>
      <c r="C9" t="s">
        <v>377</v>
      </c>
      <c r="D9" s="4">
        <v>2</v>
      </c>
      <c r="E9" s="4">
        <v>3</v>
      </c>
      <c r="F9" s="4">
        <v>1</v>
      </c>
      <c r="G9" s="4">
        <v>3</v>
      </c>
      <c r="H9" s="4">
        <v>2</v>
      </c>
      <c r="I9" s="4" t="s">
        <v>469</v>
      </c>
    </row>
    <row r="10" spans="1:9" x14ac:dyDescent="0.3">
      <c r="A10">
        <f t="shared" si="1"/>
        <v>9</v>
      </c>
      <c r="B10" t="s">
        <v>284</v>
      </c>
      <c r="C10" t="s">
        <v>335</v>
      </c>
      <c r="D10" s="4">
        <v>3</v>
      </c>
      <c r="E10" s="4">
        <v>1</v>
      </c>
      <c r="F10" s="4">
        <v>3</v>
      </c>
      <c r="G10" s="4">
        <v>3</v>
      </c>
      <c r="H10" s="4">
        <v>2</v>
      </c>
      <c r="I10" s="4" t="s">
        <v>469</v>
      </c>
    </row>
    <row r="11" spans="1:9" x14ac:dyDescent="0.3">
      <c r="A11">
        <f t="shared" si="1"/>
        <v>10</v>
      </c>
      <c r="B11" t="s">
        <v>429</v>
      </c>
      <c r="C11" t="str">
        <f>VLOOKUP(B11,'[1]Base Trab'!$A$3:$B$243,2,0)</f>
        <v>AVALOS CISNEROS FERNANDO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 t="s">
        <v>467</v>
      </c>
    </row>
    <row r="12" spans="1:9" x14ac:dyDescent="0.3">
      <c r="A12">
        <f t="shared" si="1"/>
        <v>11</v>
      </c>
      <c r="B12" t="s">
        <v>26</v>
      </c>
      <c r="C12" t="s">
        <v>299</v>
      </c>
      <c r="D12" s="4">
        <v>3</v>
      </c>
      <c r="E12" s="4">
        <v>3</v>
      </c>
      <c r="F12" s="4">
        <v>1</v>
      </c>
      <c r="G12" s="4">
        <v>3</v>
      </c>
      <c r="H12" s="4">
        <v>2</v>
      </c>
      <c r="I12" s="4" t="s">
        <v>469</v>
      </c>
    </row>
    <row r="13" spans="1:9" x14ac:dyDescent="0.3">
      <c r="A13">
        <f t="shared" si="1"/>
        <v>12</v>
      </c>
      <c r="B13" t="s">
        <v>278</v>
      </c>
      <c r="C13" t="s">
        <v>300</v>
      </c>
      <c r="D13" s="4" t="s">
        <v>16</v>
      </c>
      <c r="E13" s="4" t="s">
        <v>18</v>
      </c>
      <c r="F13" s="4" t="s">
        <v>18</v>
      </c>
      <c r="G13" s="4">
        <v>2</v>
      </c>
      <c r="H13" s="4">
        <v>2</v>
      </c>
      <c r="I13" s="4" t="s">
        <v>470</v>
      </c>
    </row>
    <row r="14" spans="1:9" x14ac:dyDescent="0.3">
      <c r="A14">
        <f t="shared" si="1"/>
        <v>13</v>
      </c>
      <c r="B14" t="s">
        <v>290</v>
      </c>
      <c r="C14" t="s">
        <v>326</v>
      </c>
      <c r="D14" s="4">
        <v>2</v>
      </c>
      <c r="E14" s="4">
        <v>1</v>
      </c>
      <c r="F14" s="4">
        <v>1</v>
      </c>
      <c r="G14" s="4">
        <v>3</v>
      </c>
      <c r="H14" s="4">
        <v>1</v>
      </c>
      <c r="I14" s="4" t="s">
        <v>469</v>
      </c>
    </row>
    <row r="15" spans="1:9" x14ac:dyDescent="0.3">
      <c r="A15">
        <f t="shared" si="1"/>
        <v>14</v>
      </c>
      <c r="B15" t="s">
        <v>250</v>
      </c>
      <c r="C15" t="s">
        <v>321</v>
      </c>
      <c r="D15" s="4">
        <v>2</v>
      </c>
      <c r="E15" s="4">
        <v>1</v>
      </c>
      <c r="F15" s="4">
        <v>3</v>
      </c>
      <c r="G15" s="4">
        <v>3</v>
      </c>
      <c r="H15" s="4">
        <v>2</v>
      </c>
      <c r="I15" s="4" t="s">
        <v>467</v>
      </c>
    </row>
    <row r="16" spans="1:9" x14ac:dyDescent="0.3">
      <c r="A16">
        <f t="shared" si="1"/>
        <v>15</v>
      </c>
      <c r="B16" t="s">
        <v>289</v>
      </c>
      <c r="C16" t="s">
        <v>342</v>
      </c>
      <c r="D16" s="4">
        <v>2</v>
      </c>
      <c r="E16" s="4">
        <v>3</v>
      </c>
      <c r="F16" s="4">
        <v>3</v>
      </c>
      <c r="G16" s="4">
        <v>3</v>
      </c>
      <c r="H16" s="4">
        <v>1</v>
      </c>
      <c r="I16" s="4" t="s">
        <v>468</v>
      </c>
    </row>
    <row r="17" spans="1:9" x14ac:dyDescent="0.3">
      <c r="A17">
        <f t="shared" si="1"/>
        <v>16</v>
      </c>
      <c r="B17" t="s">
        <v>96</v>
      </c>
      <c r="C17" t="s">
        <v>332</v>
      </c>
      <c r="D17" s="4">
        <v>2</v>
      </c>
      <c r="E17" s="4">
        <v>3</v>
      </c>
      <c r="F17" s="4">
        <v>1</v>
      </c>
      <c r="G17" s="4">
        <v>3</v>
      </c>
      <c r="H17" s="4">
        <v>1</v>
      </c>
      <c r="I17" s="4" t="s">
        <v>469</v>
      </c>
    </row>
    <row r="18" spans="1:9" x14ac:dyDescent="0.3">
      <c r="A18">
        <f t="shared" si="1"/>
        <v>17</v>
      </c>
      <c r="B18" t="s">
        <v>168</v>
      </c>
      <c r="C18" t="s">
        <v>367</v>
      </c>
      <c r="D18" s="4">
        <v>2</v>
      </c>
      <c r="E18" s="4">
        <v>3</v>
      </c>
      <c r="F18" s="4">
        <v>1</v>
      </c>
      <c r="G18" s="4">
        <v>1</v>
      </c>
      <c r="H18" s="4">
        <v>2</v>
      </c>
      <c r="I18" s="4" t="s">
        <v>468</v>
      </c>
    </row>
    <row r="19" spans="1:9" x14ac:dyDescent="0.3">
      <c r="A19">
        <f t="shared" si="1"/>
        <v>18</v>
      </c>
      <c r="B19" t="s">
        <v>92</v>
      </c>
      <c r="C19" t="s">
        <v>330</v>
      </c>
      <c r="D19" s="4">
        <v>2</v>
      </c>
      <c r="E19" s="4">
        <v>3</v>
      </c>
      <c r="F19" s="4">
        <v>1</v>
      </c>
      <c r="G19" s="4">
        <v>1</v>
      </c>
      <c r="H19" s="4">
        <v>1</v>
      </c>
      <c r="I19" s="4" t="s">
        <v>468</v>
      </c>
    </row>
    <row r="20" spans="1:9" x14ac:dyDescent="0.3">
      <c r="A20">
        <f t="shared" si="1"/>
        <v>19</v>
      </c>
      <c r="B20" t="s">
        <v>253</v>
      </c>
      <c r="C20" t="s">
        <v>338</v>
      </c>
      <c r="D20" s="4">
        <v>1</v>
      </c>
      <c r="E20" s="4">
        <v>3</v>
      </c>
      <c r="F20" s="4">
        <v>1</v>
      </c>
      <c r="G20" s="4">
        <v>3</v>
      </c>
      <c r="H20" s="4">
        <v>1</v>
      </c>
      <c r="I20" s="4" t="s">
        <v>469</v>
      </c>
    </row>
    <row r="21" spans="1:9" x14ac:dyDescent="0.3">
      <c r="A21">
        <f t="shared" si="1"/>
        <v>20</v>
      </c>
      <c r="B21" t="s">
        <v>279</v>
      </c>
      <c r="C21" t="s">
        <v>301</v>
      </c>
      <c r="D21" s="4">
        <v>2</v>
      </c>
      <c r="E21" s="4">
        <v>1</v>
      </c>
      <c r="F21" s="4">
        <v>1</v>
      </c>
      <c r="G21" s="4">
        <v>1</v>
      </c>
      <c r="H21" s="4">
        <v>1</v>
      </c>
      <c r="I21" s="4" t="s">
        <v>469</v>
      </c>
    </row>
    <row r="22" spans="1:9" x14ac:dyDescent="0.3">
      <c r="A22">
        <f t="shared" si="1"/>
        <v>21</v>
      </c>
      <c r="B22" t="s">
        <v>424</v>
      </c>
      <c r="C22" t="str">
        <f>VLOOKUP(B22,'[1]Base Trab'!$A$3:$B$243,2,0)</f>
        <v>CANO HERRERA JAVIER PERSI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 t="s">
        <v>469</v>
      </c>
    </row>
    <row r="23" spans="1:9" x14ac:dyDescent="0.3">
      <c r="A23">
        <f t="shared" si="1"/>
        <v>22</v>
      </c>
      <c r="B23" t="s">
        <v>254</v>
      </c>
      <c r="C23" t="s">
        <v>341</v>
      </c>
      <c r="D23" s="4">
        <v>2</v>
      </c>
      <c r="E23" s="4">
        <v>3</v>
      </c>
      <c r="F23" s="4">
        <v>1</v>
      </c>
      <c r="G23" s="4">
        <v>2</v>
      </c>
      <c r="H23" s="4">
        <v>1</v>
      </c>
      <c r="I23" s="4" t="s">
        <v>469</v>
      </c>
    </row>
    <row r="24" spans="1:9" x14ac:dyDescent="0.3">
      <c r="A24">
        <f t="shared" si="1"/>
        <v>23</v>
      </c>
      <c r="B24" t="s">
        <v>282</v>
      </c>
      <c r="C24" t="s">
        <v>331</v>
      </c>
      <c r="D24" s="4">
        <v>2</v>
      </c>
      <c r="E24" s="4">
        <v>3</v>
      </c>
      <c r="F24" s="4">
        <v>1</v>
      </c>
      <c r="G24" s="4">
        <v>3</v>
      </c>
      <c r="H24" s="4">
        <v>1</v>
      </c>
      <c r="I24" s="4" t="s">
        <v>469</v>
      </c>
    </row>
    <row r="25" spans="1:9" x14ac:dyDescent="0.3">
      <c r="A25">
        <f t="shared" si="1"/>
        <v>24</v>
      </c>
      <c r="B25" t="s">
        <v>68</v>
      </c>
      <c r="C25" t="s">
        <v>319</v>
      </c>
      <c r="D25" s="4">
        <v>2</v>
      </c>
      <c r="E25" s="4">
        <v>3</v>
      </c>
      <c r="F25" s="4">
        <v>1</v>
      </c>
      <c r="G25" s="4">
        <v>1</v>
      </c>
      <c r="H25" s="4">
        <v>2</v>
      </c>
      <c r="I25" s="4" t="s">
        <v>469</v>
      </c>
    </row>
    <row r="26" spans="1:9" x14ac:dyDescent="0.3">
      <c r="A26">
        <f t="shared" si="1"/>
        <v>25</v>
      </c>
      <c r="B26" t="s">
        <v>160</v>
      </c>
      <c r="C26" t="s">
        <v>363</v>
      </c>
      <c r="D26" s="4">
        <v>2</v>
      </c>
      <c r="E26" s="4">
        <v>3</v>
      </c>
      <c r="F26" s="4">
        <v>1</v>
      </c>
      <c r="G26" s="4">
        <v>3</v>
      </c>
      <c r="H26" s="4">
        <v>2</v>
      </c>
      <c r="I26" s="4" t="s">
        <v>468</v>
      </c>
    </row>
    <row r="27" spans="1:9" x14ac:dyDescent="0.3">
      <c r="A27">
        <f t="shared" si="1"/>
        <v>26</v>
      </c>
      <c r="B27" t="s">
        <v>160</v>
      </c>
      <c r="C27" t="s">
        <v>363</v>
      </c>
      <c r="D27" s="4">
        <v>2</v>
      </c>
      <c r="E27" s="4">
        <v>3</v>
      </c>
      <c r="F27" s="4">
        <v>1</v>
      </c>
      <c r="G27" s="4">
        <v>3</v>
      </c>
      <c r="H27" s="4">
        <v>2</v>
      </c>
      <c r="I27" s="4" t="s">
        <v>468</v>
      </c>
    </row>
    <row r="28" spans="1:9" x14ac:dyDescent="0.3">
      <c r="A28">
        <f t="shared" si="1"/>
        <v>27</v>
      </c>
      <c r="B28" t="s">
        <v>228</v>
      </c>
      <c r="C28" t="s">
        <v>397</v>
      </c>
      <c r="D28" s="4">
        <v>2</v>
      </c>
      <c r="E28" s="4">
        <v>3</v>
      </c>
      <c r="F28" s="4">
        <v>1</v>
      </c>
      <c r="G28" s="4">
        <v>2</v>
      </c>
      <c r="H28" s="4">
        <v>1</v>
      </c>
      <c r="I28" s="4" t="s">
        <v>468</v>
      </c>
    </row>
    <row r="29" spans="1:9" x14ac:dyDescent="0.3">
      <c r="A29">
        <f t="shared" si="1"/>
        <v>28</v>
      </c>
      <c r="B29" t="s">
        <v>178</v>
      </c>
      <c r="C29" t="s">
        <v>372</v>
      </c>
      <c r="D29" s="4">
        <v>2</v>
      </c>
      <c r="E29" s="4">
        <v>1</v>
      </c>
      <c r="F29" s="4">
        <v>2</v>
      </c>
      <c r="G29" s="4">
        <v>1</v>
      </c>
      <c r="H29" s="4">
        <v>1</v>
      </c>
      <c r="I29" s="4" t="s">
        <v>468</v>
      </c>
    </row>
    <row r="30" spans="1:9" x14ac:dyDescent="0.3">
      <c r="A30">
        <f t="shared" si="1"/>
        <v>29</v>
      </c>
      <c r="B30" t="s">
        <v>419</v>
      </c>
      <c r="C30" t="str">
        <f>VLOOKUP(B30,'[1]Base Trab'!$A$3:$B$243,2,0)</f>
        <v>COLIMAN RODRÍGUEZ FRANCISCO MANUEL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 t="s">
        <v>468</v>
      </c>
    </row>
    <row r="31" spans="1:9" x14ac:dyDescent="0.3">
      <c r="A31">
        <f t="shared" si="1"/>
        <v>30</v>
      </c>
      <c r="B31" t="s">
        <v>283</v>
      </c>
      <c r="C31" t="s">
        <v>333</v>
      </c>
      <c r="D31" s="4">
        <v>3</v>
      </c>
      <c r="E31" s="4">
        <v>3</v>
      </c>
      <c r="F31" s="4">
        <v>1</v>
      </c>
      <c r="G31" s="4">
        <v>3</v>
      </c>
      <c r="H31" s="4">
        <v>1</v>
      </c>
      <c r="I31" s="4" t="s">
        <v>469</v>
      </c>
    </row>
    <row r="32" spans="1:9" x14ac:dyDescent="0.3">
      <c r="A32">
        <f t="shared" si="1"/>
        <v>31</v>
      </c>
      <c r="B32" t="s">
        <v>156</v>
      </c>
      <c r="C32" t="s">
        <v>361</v>
      </c>
      <c r="D32" s="4">
        <v>2</v>
      </c>
      <c r="E32" s="4">
        <v>3</v>
      </c>
      <c r="F32" s="4">
        <v>1</v>
      </c>
      <c r="G32" s="4">
        <v>2</v>
      </c>
      <c r="H32" s="4">
        <v>2</v>
      </c>
      <c r="I32" s="4" t="s">
        <v>468</v>
      </c>
    </row>
    <row r="33" spans="1:9" x14ac:dyDescent="0.3">
      <c r="A33">
        <f t="shared" si="1"/>
        <v>32</v>
      </c>
      <c r="B33" t="s">
        <v>90</v>
      </c>
      <c r="C33" t="s">
        <v>293</v>
      </c>
      <c r="D33" s="4">
        <v>3</v>
      </c>
      <c r="E33" s="4">
        <v>3</v>
      </c>
      <c r="F33" s="4">
        <v>1</v>
      </c>
      <c r="G33" s="4">
        <v>2</v>
      </c>
      <c r="H33" s="4">
        <v>2</v>
      </c>
      <c r="I33" s="4" t="s">
        <v>467</v>
      </c>
    </row>
    <row r="34" spans="1:9" x14ac:dyDescent="0.3">
      <c r="A34">
        <f t="shared" si="1"/>
        <v>33</v>
      </c>
      <c r="B34" t="s">
        <v>154</v>
      </c>
      <c r="C34" t="s">
        <v>360</v>
      </c>
      <c r="D34" s="4">
        <v>2</v>
      </c>
      <c r="E34" s="4">
        <v>2</v>
      </c>
      <c r="F34" s="4">
        <v>2</v>
      </c>
      <c r="G34" s="4">
        <v>2</v>
      </c>
      <c r="H34" s="4">
        <v>1</v>
      </c>
      <c r="I34" s="4" t="s">
        <v>468</v>
      </c>
    </row>
    <row r="35" spans="1:9" x14ac:dyDescent="0.3">
      <c r="A35">
        <f t="shared" si="1"/>
        <v>34</v>
      </c>
      <c r="B35" t="s">
        <v>251</v>
      </c>
      <c r="C35" t="s">
        <v>325</v>
      </c>
      <c r="D35" s="4">
        <v>2</v>
      </c>
      <c r="E35" s="4">
        <v>3</v>
      </c>
      <c r="F35" s="4">
        <v>1</v>
      </c>
      <c r="G35" s="4">
        <v>2</v>
      </c>
      <c r="H35" s="4">
        <v>1</v>
      </c>
      <c r="I35" s="4" t="s">
        <v>469</v>
      </c>
    </row>
    <row r="36" spans="1:9" x14ac:dyDescent="0.3">
      <c r="A36">
        <f t="shared" si="1"/>
        <v>35</v>
      </c>
      <c r="B36" t="s">
        <v>265</v>
      </c>
      <c r="C36" t="s">
        <v>365</v>
      </c>
      <c r="D36" s="4" t="s">
        <v>16</v>
      </c>
      <c r="E36" s="4" t="s">
        <v>18</v>
      </c>
      <c r="F36" s="4" t="s">
        <v>18</v>
      </c>
      <c r="G36" s="4" t="s">
        <v>16</v>
      </c>
      <c r="H36" s="4" t="s">
        <v>16</v>
      </c>
      <c r="I36" s="4" t="s">
        <v>470</v>
      </c>
    </row>
    <row r="37" spans="1:9" x14ac:dyDescent="0.3">
      <c r="A37">
        <f t="shared" si="1"/>
        <v>36</v>
      </c>
      <c r="B37" t="s">
        <v>418</v>
      </c>
      <c r="C37" t="str">
        <f>VLOOKUP(B37,'[1]Base Trab'!$A$3:$B$243,2,0)</f>
        <v>DELGADO LABRA NICOLAS IGNACIO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 t="s">
        <v>471</v>
      </c>
    </row>
    <row r="38" spans="1:9" x14ac:dyDescent="0.3">
      <c r="A38">
        <f t="shared" si="1"/>
        <v>37</v>
      </c>
      <c r="B38" t="s">
        <v>280</v>
      </c>
      <c r="C38" t="s">
        <v>314</v>
      </c>
      <c r="D38" s="4">
        <v>2</v>
      </c>
      <c r="E38" s="4">
        <v>1</v>
      </c>
      <c r="F38" s="4">
        <v>1</v>
      </c>
      <c r="G38" s="4">
        <v>3</v>
      </c>
      <c r="H38" s="4">
        <v>1</v>
      </c>
      <c r="I38" s="4" t="s">
        <v>468</v>
      </c>
    </row>
    <row r="39" spans="1:9" x14ac:dyDescent="0.3">
      <c r="A39">
        <f t="shared" si="1"/>
        <v>38</v>
      </c>
      <c r="B39" t="s">
        <v>280</v>
      </c>
      <c r="C39" t="s">
        <v>314</v>
      </c>
      <c r="D39" s="4">
        <v>2</v>
      </c>
      <c r="E39" s="4">
        <v>1</v>
      </c>
      <c r="F39" s="4">
        <v>1</v>
      </c>
      <c r="G39" s="4">
        <v>3</v>
      </c>
      <c r="H39" s="4">
        <v>1</v>
      </c>
      <c r="I39" s="4" t="s">
        <v>468</v>
      </c>
    </row>
    <row r="40" spans="1:9" x14ac:dyDescent="0.3">
      <c r="A40">
        <f t="shared" si="1"/>
        <v>39</v>
      </c>
      <c r="B40" t="s">
        <v>34</v>
      </c>
      <c r="C40" t="s">
        <v>303</v>
      </c>
      <c r="D40" s="4">
        <v>1</v>
      </c>
      <c r="E40" s="4">
        <v>3</v>
      </c>
      <c r="F40" s="4">
        <v>3</v>
      </c>
      <c r="G40" s="4">
        <v>3</v>
      </c>
      <c r="H40" s="4">
        <v>2</v>
      </c>
      <c r="I40" s="4" t="s">
        <v>469</v>
      </c>
    </row>
    <row r="41" spans="1:9" x14ac:dyDescent="0.3">
      <c r="A41">
        <f t="shared" si="1"/>
        <v>40</v>
      </c>
      <c r="B41" t="s">
        <v>247</v>
      </c>
      <c r="C41" t="s">
        <v>313</v>
      </c>
      <c r="D41" s="4">
        <v>3</v>
      </c>
      <c r="E41" s="4">
        <v>3</v>
      </c>
      <c r="F41" s="4">
        <v>3</v>
      </c>
      <c r="G41" s="4">
        <v>3</v>
      </c>
      <c r="H41" s="4">
        <v>2</v>
      </c>
      <c r="I41" s="4" t="s">
        <v>469</v>
      </c>
    </row>
    <row r="42" spans="1:9" x14ac:dyDescent="0.3">
      <c r="A42">
        <f t="shared" si="1"/>
        <v>41</v>
      </c>
      <c r="B42" t="s">
        <v>260</v>
      </c>
      <c r="C42" t="s">
        <v>350</v>
      </c>
      <c r="D42" s="4">
        <v>2</v>
      </c>
      <c r="E42" s="4">
        <v>1</v>
      </c>
      <c r="F42" s="4">
        <v>1</v>
      </c>
      <c r="G42" s="4">
        <v>3</v>
      </c>
      <c r="H42" s="4">
        <v>2</v>
      </c>
      <c r="I42" s="4" t="s">
        <v>468</v>
      </c>
    </row>
    <row r="43" spans="1:9" x14ac:dyDescent="0.3">
      <c r="A43">
        <f t="shared" si="1"/>
        <v>42</v>
      </c>
      <c r="B43" t="s">
        <v>24</v>
      </c>
      <c r="C43" t="s">
        <v>298</v>
      </c>
      <c r="D43" s="4">
        <v>1</v>
      </c>
      <c r="E43" s="4">
        <v>1</v>
      </c>
      <c r="F43" s="4">
        <v>2</v>
      </c>
      <c r="G43" s="4">
        <v>3</v>
      </c>
      <c r="H43" s="4">
        <v>1</v>
      </c>
      <c r="I43" s="4" t="s">
        <v>469</v>
      </c>
    </row>
    <row r="44" spans="1:9" x14ac:dyDescent="0.3">
      <c r="A44">
        <f t="shared" si="1"/>
        <v>43</v>
      </c>
      <c r="B44" t="s">
        <v>204</v>
      </c>
      <c r="C44" t="s">
        <v>385</v>
      </c>
      <c r="D44" s="4">
        <v>2</v>
      </c>
      <c r="E44" s="4">
        <v>3</v>
      </c>
      <c r="F44" s="4">
        <v>1</v>
      </c>
      <c r="G44" s="4">
        <v>3</v>
      </c>
      <c r="H44" s="4">
        <v>1</v>
      </c>
      <c r="I44" s="4" t="s">
        <v>469</v>
      </c>
    </row>
    <row r="45" spans="1:9" x14ac:dyDescent="0.3">
      <c r="A45">
        <f t="shared" si="1"/>
        <v>44</v>
      </c>
      <c r="B45" t="s">
        <v>267</v>
      </c>
      <c r="C45" t="s">
        <v>373</v>
      </c>
      <c r="D45" s="4">
        <v>1</v>
      </c>
      <c r="E45" s="4">
        <v>3</v>
      </c>
      <c r="F45" s="4">
        <v>1</v>
      </c>
      <c r="G45" s="4">
        <v>1</v>
      </c>
      <c r="H45" s="4">
        <v>2</v>
      </c>
      <c r="I45" s="4" t="s">
        <v>469</v>
      </c>
    </row>
    <row r="46" spans="1:9" x14ac:dyDescent="0.3">
      <c r="A46">
        <f t="shared" si="1"/>
        <v>45</v>
      </c>
      <c r="B46" t="s">
        <v>286</v>
      </c>
      <c r="C46" t="s">
        <v>358</v>
      </c>
      <c r="D46" s="4" t="s">
        <v>16</v>
      </c>
      <c r="E46" s="4" t="s">
        <v>18</v>
      </c>
      <c r="F46" s="4" t="s">
        <v>18</v>
      </c>
      <c r="G46" s="4" t="s">
        <v>16</v>
      </c>
      <c r="H46" s="4" t="s">
        <v>16</v>
      </c>
      <c r="I46" s="4" t="s">
        <v>468</v>
      </c>
    </row>
    <row r="47" spans="1:9" x14ac:dyDescent="0.3">
      <c r="A47">
        <f t="shared" si="1"/>
        <v>46</v>
      </c>
      <c r="B47" t="s">
        <v>136</v>
      </c>
      <c r="C47" t="s">
        <v>352</v>
      </c>
      <c r="D47" s="4">
        <v>3</v>
      </c>
      <c r="E47" s="4">
        <v>1</v>
      </c>
      <c r="F47" s="4">
        <v>3</v>
      </c>
      <c r="G47" s="4">
        <v>3</v>
      </c>
      <c r="H47" s="4">
        <v>1</v>
      </c>
      <c r="I47" s="4" t="s">
        <v>468</v>
      </c>
    </row>
    <row r="48" spans="1:9" x14ac:dyDescent="0.3">
      <c r="A48">
        <f t="shared" si="1"/>
        <v>47</v>
      </c>
      <c r="B48" t="s">
        <v>248</v>
      </c>
      <c r="C48" t="s">
        <v>315</v>
      </c>
      <c r="D48" s="4">
        <v>1</v>
      </c>
      <c r="E48" s="4">
        <v>1</v>
      </c>
      <c r="F48" s="4">
        <v>3</v>
      </c>
      <c r="G48" s="4">
        <v>3</v>
      </c>
      <c r="H48" s="4">
        <v>2</v>
      </c>
      <c r="I48" s="4" t="s">
        <v>467</v>
      </c>
    </row>
    <row r="49" spans="1:9" x14ac:dyDescent="0.3">
      <c r="A49">
        <f t="shared" si="1"/>
        <v>48</v>
      </c>
      <c r="B49" t="s">
        <v>273</v>
      </c>
      <c r="C49" t="s">
        <v>390</v>
      </c>
      <c r="D49" s="4">
        <v>1</v>
      </c>
      <c r="E49" s="4">
        <v>3</v>
      </c>
      <c r="F49" s="4">
        <v>1</v>
      </c>
      <c r="G49" s="4">
        <v>1</v>
      </c>
      <c r="H49" s="4">
        <v>1</v>
      </c>
      <c r="I49" s="4" t="s">
        <v>468</v>
      </c>
    </row>
    <row r="50" spans="1:9" x14ac:dyDescent="0.3">
      <c r="A50">
        <f t="shared" si="1"/>
        <v>49</v>
      </c>
      <c r="B50" t="s">
        <v>261</v>
      </c>
      <c r="C50" t="s">
        <v>353</v>
      </c>
      <c r="D50" s="4">
        <v>2</v>
      </c>
      <c r="E50" s="4">
        <v>3</v>
      </c>
      <c r="F50" s="4">
        <v>1</v>
      </c>
      <c r="G50" s="4">
        <v>1</v>
      </c>
      <c r="H50" s="4">
        <v>1</v>
      </c>
      <c r="I50" s="4" t="s">
        <v>469</v>
      </c>
    </row>
    <row r="51" spans="1:9" x14ac:dyDescent="0.3">
      <c r="A51">
        <f t="shared" si="1"/>
        <v>50</v>
      </c>
      <c r="B51" t="s">
        <v>276</v>
      </c>
      <c r="C51" t="s">
        <v>401</v>
      </c>
      <c r="D51" s="4">
        <v>3</v>
      </c>
      <c r="E51" s="4">
        <v>1</v>
      </c>
      <c r="F51" s="4">
        <v>1</v>
      </c>
      <c r="G51" s="4">
        <v>3</v>
      </c>
      <c r="H51" s="4">
        <v>1</v>
      </c>
      <c r="I51" s="4" t="s">
        <v>467</v>
      </c>
    </row>
    <row r="52" spans="1:9" x14ac:dyDescent="0.3">
      <c r="A52">
        <f t="shared" si="1"/>
        <v>51</v>
      </c>
      <c r="B52" t="s">
        <v>104</v>
      </c>
      <c r="C52" t="s">
        <v>336</v>
      </c>
      <c r="D52" s="4">
        <v>2</v>
      </c>
      <c r="E52" s="4">
        <v>2</v>
      </c>
      <c r="F52" s="4">
        <v>1</v>
      </c>
      <c r="G52" s="4">
        <v>1</v>
      </c>
      <c r="H52" s="4">
        <v>1</v>
      </c>
      <c r="I52" s="4" t="s">
        <v>469</v>
      </c>
    </row>
    <row r="53" spans="1:9" x14ac:dyDescent="0.3">
      <c r="A53">
        <f t="shared" si="1"/>
        <v>52</v>
      </c>
      <c r="B53" t="s">
        <v>62</v>
      </c>
      <c r="C53" t="s">
        <v>316</v>
      </c>
      <c r="D53" s="4">
        <v>2</v>
      </c>
      <c r="E53" s="4">
        <v>3</v>
      </c>
      <c r="F53" s="4">
        <v>1</v>
      </c>
      <c r="G53" s="4">
        <v>1</v>
      </c>
      <c r="H53" s="4">
        <v>2</v>
      </c>
      <c r="I53" s="4" t="s">
        <v>468</v>
      </c>
    </row>
    <row r="54" spans="1:9" x14ac:dyDescent="0.3">
      <c r="A54">
        <f t="shared" si="1"/>
        <v>53</v>
      </c>
      <c r="B54" t="s">
        <v>66</v>
      </c>
      <c r="C54" t="s">
        <v>318</v>
      </c>
      <c r="D54" s="4">
        <v>3</v>
      </c>
      <c r="E54" s="4" t="s">
        <v>18</v>
      </c>
      <c r="F54" s="4" t="s">
        <v>18</v>
      </c>
      <c r="G54" s="4" t="s">
        <v>16</v>
      </c>
      <c r="H54" s="4" t="s">
        <v>16</v>
      </c>
      <c r="I54" s="4" t="s">
        <v>470</v>
      </c>
    </row>
    <row r="55" spans="1:9" x14ac:dyDescent="0.3">
      <c r="A55">
        <f t="shared" si="1"/>
        <v>54</v>
      </c>
      <c r="B55" t="s">
        <v>406</v>
      </c>
      <c r="C55" t="str">
        <f>VLOOKUP(B55,'[1]Base Trab'!$A$3:$B$243,2,0)</f>
        <v>HERRERA ASTETE EDWIN MAURICIO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 t="s">
        <v>469</v>
      </c>
    </row>
    <row r="56" spans="1:9" x14ac:dyDescent="0.3">
      <c r="A56">
        <f t="shared" si="1"/>
        <v>55</v>
      </c>
      <c r="B56" t="s">
        <v>184</v>
      </c>
      <c r="C56" t="s">
        <v>375</v>
      </c>
      <c r="D56" s="4">
        <v>2</v>
      </c>
      <c r="E56" s="4">
        <v>3</v>
      </c>
      <c r="F56" s="4">
        <v>3</v>
      </c>
      <c r="G56" s="4">
        <v>1</v>
      </c>
      <c r="H56" s="4">
        <v>2</v>
      </c>
      <c r="I56" s="4" t="s">
        <v>468</v>
      </c>
    </row>
    <row r="57" spans="1:9" x14ac:dyDescent="0.3">
      <c r="A57">
        <f t="shared" si="1"/>
        <v>56</v>
      </c>
      <c r="B57" t="s">
        <v>184</v>
      </c>
      <c r="C57" t="s">
        <v>375</v>
      </c>
      <c r="D57" s="4">
        <v>2</v>
      </c>
      <c r="E57" s="4">
        <v>3</v>
      </c>
      <c r="F57" s="4">
        <v>3</v>
      </c>
      <c r="G57" s="4">
        <v>1</v>
      </c>
      <c r="H57" s="4">
        <v>2</v>
      </c>
      <c r="I57" s="4" t="s">
        <v>468</v>
      </c>
    </row>
    <row r="58" spans="1:9" x14ac:dyDescent="0.3">
      <c r="A58">
        <f t="shared" si="1"/>
        <v>57</v>
      </c>
      <c r="B58" t="s">
        <v>257</v>
      </c>
      <c r="C58" t="s">
        <v>345</v>
      </c>
      <c r="D58" s="4" t="s">
        <v>16</v>
      </c>
      <c r="E58" s="4">
        <v>3</v>
      </c>
      <c r="F58" s="4">
        <v>1</v>
      </c>
      <c r="G58" s="4">
        <v>3</v>
      </c>
      <c r="H58" s="4">
        <v>1</v>
      </c>
      <c r="I58" s="4" t="s">
        <v>469</v>
      </c>
    </row>
    <row r="59" spans="1:9" x14ac:dyDescent="0.3">
      <c r="A59">
        <f t="shared" si="1"/>
        <v>58</v>
      </c>
      <c r="B59" t="s">
        <v>420</v>
      </c>
      <c r="C59" t="str">
        <f>VLOOKUP(B59,'[1]Base Trab'!$A$3:$B$243,2,0)</f>
        <v>IRARRAZABAL VILLANUEVA ARIEL JESUS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 t="s">
        <v>468</v>
      </c>
    </row>
    <row r="60" spans="1:9" x14ac:dyDescent="0.3">
      <c r="A60">
        <f t="shared" si="1"/>
        <v>59</v>
      </c>
      <c r="B60" t="s">
        <v>417</v>
      </c>
      <c r="C60" t="str">
        <f>VLOOKUP(B60,'[1]Base Trab'!$A$3:$B$243,2,0)</f>
        <v>LAGOS BRAVO IVAN ANDRES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 t="s">
        <v>469</v>
      </c>
    </row>
    <row r="61" spans="1:9" x14ac:dyDescent="0.3">
      <c r="A61">
        <f t="shared" si="1"/>
        <v>60</v>
      </c>
      <c r="B61" t="s">
        <v>274</v>
      </c>
      <c r="C61" t="s">
        <v>391</v>
      </c>
      <c r="D61" s="4">
        <v>2</v>
      </c>
      <c r="E61" s="4">
        <v>1</v>
      </c>
      <c r="F61" s="4">
        <v>3</v>
      </c>
      <c r="G61" s="4">
        <v>2</v>
      </c>
      <c r="H61" s="4">
        <v>2</v>
      </c>
      <c r="I61" s="4" t="s">
        <v>468</v>
      </c>
    </row>
    <row r="62" spans="1:9" x14ac:dyDescent="0.3">
      <c r="A62">
        <f t="shared" si="1"/>
        <v>61</v>
      </c>
      <c r="B62" t="s">
        <v>425</v>
      </c>
      <c r="C62" t="str">
        <f>VLOOKUP(B62,'[1]Base Trab'!$A$3:$B$243,2,0)</f>
        <v>LAPLECHADE ORREGO FRANCISCO JAVIER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 t="s">
        <v>469</v>
      </c>
    </row>
    <row r="63" spans="1:9" x14ac:dyDescent="0.3">
      <c r="A63">
        <f t="shared" si="1"/>
        <v>62</v>
      </c>
      <c r="B63" t="s">
        <v>142</v>
      </c>
      <c r="C63" t="s">
        <v>354</v>
      </c>
      <c r="D63" s="4">
        <v>3</v>
      </c>
      <c r="E63" s="4">
        <v>3</v>
      </c>
      <c r="F63" s="4">
        <v>1</v>
      </c>
      <c r="G63" s="4">
        <v>3</v>
      </c>
      <c r="H63" s="4">
        <v>2</v>
      </c>
      <c r="I63" s="4" t="s">
        <v>469</v>
      </c>
    </row>
    <row r="64" spans="1:9" x14ac:dyDescent="0.3">
      <c r="A64">
        <f t="shared" si="1"/>
        <v>63</v>
      </c>
      <c r="B64" t="s">
        <v>408</v>
      </c>
      <c r="C64" t="str">
        <f>VLOOKUP(B64,'[1]Base Trab'!$A$3:$B$243,2,0)</f>
        <v>LEON LEON JEAN MARIE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 t="s">
        <v>467</v>
      </c>
    </row>
    <row r="65" spans="1:9" x14ac:dyDescent="0.3">
      <c r="A65">
        <f t="shared" si="1"/>
        <v>64</v>
      </c>
      <c r="B65" t="s">
        <v>291</v>
      </c>
      <c r="C65" t="s">
        <v>339</v>
      </c>
      <c r="D65" s="4">
        <v>2</v>
      </c>
      <c r="E65" s="4">
        <v>3</v>
      </c>
      <c r="F65" s="4">
        <v>1</v>
      </c>
      <c r="G65" s="4">
        <v>3</v>
      </c>
      <c r="H65" s="4">
        <v>2</v>
      </c>
      <c r="I65" s="4" t="s">
        <v>468</v>
      </c>
    </row>
    <row r="66" spans="1:9" x14ac:dyDescent="0.3">
      <c r="A66">
        <f t="shared" si="1"/>
        <v>65</v>
      </c>
      <c r="B66" t="s">
        <v>212</v>
      </c>
      <c r="C66" t="s">
        <v>389</v>
      </c>
      <c r="D66" s="4">
        <v>3</v>
      </c>
      <c r="E66" s="4">
        <v>3</v>
      </c>
      <c r="F66" s="4" t="s">
        <v>473</v>
      </c>
      <c r="G66" s="4" t="s">
        <v>473</v>
      </c>
      <c r="H66" s="4">
        <v>1</v>
      </c>
      <c r="I66" s="4" t="s">
        <v>467</v>
      </c>
    </row>
    <row r="67" spans="1:9" x14ac:dyDescent="0.3">
      <c r="A67">
        <f t="shared" si="1"/>
        <v>66</v>
      </c>
      <c r="B67" t="s">
        <v>271</v>
      </c>
      <c r="C67" t="s">
        <v>378</v>
      </c>
      <c r="D67" s="4">
        <v>2</v>
      </c>
      <c r="E67" s="4">
        <v>3</v>
      </c>
      <c r="F67" s="4">
        <v>1</v>
      </c>
      <c r="G67" s="4">
        <v>2</v>
      </c>
      <c r="H67" s="4">
        <v>1</v>
      </c>
      <c r="I67" s="4" t="s">
        <v>469</v>
      </c>
    </row>
    <row r="68" spans="1:9" x14ac:dyDescent="0.3">
      <c r="A68">
        <f t="shared" si="1"/>
        <v>67</v>
      </c>
      <c r="B68" t="s">
        <v>404</v>
      </c>
      <c r="C68" t="str">
        <f>VLOOKUP(B68,'[1]Base Trab'!$A$3:$B$243,2,0)</f>
        <v>MANSILLA BARRIENTOS MARCIA DOLENA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 t="s">
        <v>469</v>
      </c>
    </row>
    <row r="69" spans="1:9" x14ac:dyDescent="0.3">
      <c r="A69">
        <f t="shared" si="1"/>
        <v>68</v>
      </c>
      <c r="B69" t="s">
        <v>245</v>
      </c>
      <c r="C69" t="s">
        <v>310</v>
      </c>
      <c r="D69" s="4">
        <v>2</v>
      </c>
      <c r="E69" s="4">
        <v>3</v>
      </c>
      <c r="F69" s="4">
        <v>2</v>
      </c>
      <c r="G69" s="4">
        <v>2</v>
      </c>
      <c r="H69" s="4">
        <v>2</v>
      </c>
      <c r="I69" s="4" t="s">
        <v>469</v>
      </c>
    </row>
    <row r="70" spans="1:9" x14ac:dyDescent="0.3">
      <c r="A70">
        <f t="shared" si="1"/>
        <v>69</v>
      </c>
      <c r="B70" t="s">
        <v>412</v>
      </c>
      <c r="C70" t="str">
        <f>VLOOKUP(B70,'[1]Base Trab'!$A$3:$B$243,2,0)</f>
        <v>MARTINEZ CONEJEROS BRYAN ALEJANDRO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 t="s">
        <v>469</v>
      </c>
    </row>
    <row r="71" spans="1:9" x14ac:dyDescent="0.3">
      <c r="A71">
        <f t="shared" ref="A71:A134" si="2">+A70+1</f>
        <v>70</v>
      </c>
      <c r="B71" t="s">
        <v>40</v>
      </c>
      <c r="C71" t="s">
        <v>306</v>
      </c>
      <c r="D71" s="4">
        <v>1</v>
      </c>
      <c r="E71" s="4">
        <v>3</v>
      </c>
      <c r="F71" s="4">
        <v>1</v>
      </c>
      <c r="G71" s="4">
        <v>2</v>
      </c>
      <c r="H71" s="4">
        <v>2</v>
      </c>
      <c r="I71" s="4" t="s">
        <v>469</v>
      </c>
    </row>
    <row r="72" spans="1:9" x14ac:dyDescent="0.3">
      <c r="A72">
        <f t="shared" si="2"/>
        <v>71</v>
      </c>
      <c r="B72" t="s">
        <v>86</v>
      </c>
      <c r="C72" t="s">
        <v>328</v>
      </c>
      <c r="D72" s="4">
        <v>2</v>
      </c>
      <c r="E72" s="4">
        <v>1</v>
      </c>
      <c r="F72" s="4">
        <v>2</v>
      </c>
      <c r="G72" s="4">
        <v>2</v>
      </c>
      <c r="H72" s="4">
        <v>2</v>
      </c>
      <c r="I72" s="4" t="s">
        <v>467</v>
      </c>
    </row>
    <row r="73" spans="1:9" x14ac:dyDescent="0.3">
      <c r="A73">
        <f t="shared" si="2"/>
        <v>72</v>
      </c>
      <c r="B73" t="s">
        <v>255</v>
      </c>
      <c r="C73" t="s">
        <v>343</v>
      </c>
      <c r="D73" s="4">
        <v>2</v>
      </c>
      <c r="E73" s="4">
        <v>2</v>
      </c>
      <c r="F73" s="4">
        <v>1</v>
      </c>
      <c r="G73" s="4">
        <v>3</v>
      </c>
      <c r="H73" s="4">
        <v>1</v>
      </c>
      <c r="I73" s="4" t="s">
        <v>468</v>
      </c>
    </row>
    <row r="74" spans="1:9" x14ac:dyDescent="0.3">
      <c r="A74">
        <f t="shared" si="2"/>
        <v>73</v>
      </c>
      <c r="B74" t="s">
        <v>427</v>
      </c>
      <c r="C74" t="str">
        <f>VLOOKUP(B74,'[1]Base Trab'!$A$3:$B$243,2,0)</f>
        <v>MENDEZ LARA KRISTOPHER ALEXANDER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 t="s">
        <v>468</v>
      </c>
    </row>
    <row r="75" spans="1:9" x14ac:dyDescent="0.3">
      <c r="A75">
        <f t="shared" si="2"/>
        <v>74</v>
      </c>
      <c r="B75" t="s">
        <v>134</v>
      </c>
      <c r="C75" t="s">
        <v>351</v>
      </c>
      <c r="D75" s="4">
        <v>2</v>
      </c>
      <c r="E75" s="4">
        <v>3</v>
      </c>
      <c r="F75" s="4">
        <v>3</v>
      </c>
      <c r="G75" s="4">
        <v>2</v>
      </c>
      <c r="H75" s="4">
        <v>1</v>
      </c>
      <c r="I75" s="4" t="s">
        <v>468</v>
      </c>
    </row>
    <row r="76" spans="1:9" x14ac:dyDescent="0.3">
      <c r="A76">
        <f t="shared" si="2"/>
        <v>75</v>
      </c>
      <c r="B76" t="s">
        <v>74</v>
      </c>
      <c r="C76" t="s">
        <v>322</v>
      </c>
      <c r="D76" s="4">
        <v>3</v>
      </c>
      <c r="E76" s="4">
        <v>3</v>
      </c>
      <c r="F76" s="4">
        <v>3</v>
      </c>
      <c r="G76" s="4">
        <v>3</v>
      </c>
      <c r="H76" s="4">
        <v>1</v>
      </c>
      <c r="I76" s="4" t="s">
        <v>471</v>
      </c>
    </row>
    <row r="77" spans="1:9" x14ac:dyDescent="0.3">
      <c r="A77">
        <f t="shared" si="2"/>
        <v>76</v>
      </c>
      <c r="B77" t="s">
        <v>405</v>
      </c>
      <c r="C77" t="str">
        <f>VLOOKUP(B77,'[1]Base Trab'!$A$3:$B$243,2,0)</f>
        <v>MOLINA PAREDES FELIPE IGNACIO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 t="s">
        <v>467</v>
      </c>
    </row>
    <row r="78" spans="1:9" x14ac:dyDescent="0.3">
      <c r="A78">
        <f t="shared" si="2"/>
        <v>77</v>
      </c>
      <c r="B78" t="s">
        <v>42</v>
      </c>
      <c r="C78" t="s">
        <v>307</v>
      </c>
      <c r="D78" s="4">
        <v>3</v>
      </c>
      <c r="E78" s="4">
        <v>3</v>
      </c>
      <c r="F78" s="4">
        <v>1</v>
      </c>
      <c r="G78" s="4">
        <v>3</v>
      </c>
      <c r="H78" s="4">
        <v>2</v>
      </c>
      <c r="I78" s="4" t="s">
        <v>467</v>
      </c>
    </row>
    <row r="79" spans="1:9" x14ac:dyDescent="0.3">
      <c r="A79">
        <f t="shared" si="2"/>
        <v>78</v>
      </c>
      <c r="B79" t="s">
        <v>244</v>
      </c>
      <c r="C79" t="s">
        <v>308</v>
      </c>
      <c r="D79" s="4">
        <v>2</v>
      </c>
      <c r="E79" s="4">
        <v>2</v>
      </c>
      <c r="F79" s="4">
        <v>1</v>
      </c>
      <c r="G79" s="4">
        <v>1</v>
      </c>
      <c r="H79" s="4">
        <v>1</v>
      </c>
      <c r="I79" s="4" t="s">
        <v>468</v>
      </c>
    </row>
    <row r="80" spans="1:9" x14ac:dyDescent="0.3">
      <c r="A80">
        <f t="shared" si="2"/>
        <v>79</v>
      </c>
      <c r="B80" t="s">
        <v>256</v>
      </c>
      <c r="C80" t="s">
        <v>344</v>
      </c>
      <c r="D80" s="4">
        <v>3</v>
      </c>
      <c r="E80" s="4">
        <v>3</v>
      </c>
      <c r="F80" s="4">
        <v>3</v>
      </c>
      <c r="G80" s="4">
        <v>2</v>
      </c>
      <c r="H80" s="4">
        <v>2</v>
      </c>
      <c r="I80" s="4" t="s">
        <v>469</v>
      </c>
    </row>
    <row r="81" spans="1:9" x14ac:dyDescent="0.3">
      <c r="A81">
        <f t="shared" si="2"/>
        <v>80</v>
      </c>
      <c r="B81" t="s">
        <v>140</v>
      </c>
      <c r="C81" t="s">
        <v>294</v>
      </c>
      <c r="D81" s="4" t="s">
        <v>16</v>
      </c>
      <c r="E81" s="4">
        <v>3</v>
      </c>
      <c r="F81" s="4" t="s">
        <v>18</v>
      </c>
      <c r="G81" s="4" t="s">
        <v>16</v>
      </c>
      <c r="H81" s="4" t="s">
        <v>16</v>
      </c>
      <c r="I81" s="4" t="s">
        <v>467</v>
      </c>
    </row>
    <row r="82" spans="1:9" x14ac:dyDescent="0.3">
      <c r="A82">
        <f t="shared" si="2"/>
        <v>81</v>
      </c>
      <c r="B82" t="s">
        <v>277</v>
      </c>
      <c r="C82" t="s">
        <v>403</v>
      </c>
      <c r="D82" s="4">
        <v>2</v>
      </c>
      <c r="E82" s="4">
        <v>1</v>
      </c>
      <c r="F82" s="4">
        <v>2</v>
      </c>
      <c r="G82" s="4">
        <v>2</v>
      </c>
      <c r="H82" s="4">
        <v>2</v>
      </c>
      <c r="I82" s="4" t="s">
        <v>468</v>
      </c>
    </row>
    <row r="83" spans="1:9" x14ac:dyDescent="0.3">
      <c r="A83">
        <f t="shared" si="2"/>
        <v>82</v>
      </c>
      <c r="B83" t="s">
        <v>426</v>
      </c>
      <c r="C83" t="str">
        <f>VLOOKUP(B83,'[1]Base Trab'!$A$3:$B$243,2,0)</f>
        <v>MOSTACERO BANCES WILSON LEO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 t="s">
        <v>469</v>
      </c>
    </row>
    <row r="84" spans="1:9" x14ac:dyDescent="0.3">
      <c r="A84">
        <f t="shared" si="2"/>
        <v>83</v>
      </c>
      <c r="B84" t="s">
        <v>20</v>
      </c>
      <c r="C84" t="s">
        <v>297</v>
      </c>
      <c r="D84" s="4">
        <v>3</v>
      </c>
      <c r="E84" s="4">
        <v>3</v>
      </c>
      <c r="F84" s="4">
        <v>1</v>
      </c>
      <c r="G84" s="4">
        <v>3</v>
      </c>
      <c r="H84" s="4">
        <v>2</v>
      </c>
      <c r="I84" s="4" t="s">
        <v>467</v>
      </c>
    </row>
    <row r="85" spans="1:9" x14ac:dyDescent="0.3">
      <c r="A85">
        <f t="shared" si="2"/>
        <v>84</v>
      </c>
      <c r="B85" t="s">
        <v>421</v>
      </c>
      <c r="C85" t="str">
        <f>VLOOKUP(B85,'[1]Base Trab'!$A$3:$B$243,2,0)</f>
        <v>MUÑOZ MUÑOZ RODOLFO IVAN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 t="s">
        <v>468</v>
      </c>
    </row>
    <row r="86" spans="1:9" x14ac:dyDescent="0.3">
      <c r="A86">
        <f t="shared" si="2"/>
        <v>85</v>
      </c>
      <c r="B86" t="s">
        <v>32</v>
      </c>
      <c r="C86" t="s">
        <v>302</v>
      </c>
      <c r="D86" s="4">
        <v>2</v>
      </c>
      <c r="E86" s="4">
        <v>3</v>
      </c>
      <c r="F86" s="4">
        <v>3</v>
      </c>
      <c r="G86" s="4">
        <v>3</v>
      </c>
      <c r="H86" s="4">
        <v>2</v>
      </c>
      <c r="I86" s="4" t="s">
        <v>469</v>
      </c>
    </row>
    <row r="87" spans="1:9" x14ac:dyDescent="0.3">
      <c r="A87">
        <f t="shared" si="2"/>
        <v>86</v>
      </c>
      <c r="B87" t="s">
        <v>430</v>
      </c>
      <c r="C87" t="str">
        <f>VLOOKUP(B87,'[1]Base Trab'!$A$3:$B$243,2,0)</f>
        <v>ORTIZ MUÑOZ DAVID ALFONSO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 t="s">
        <v>467</v>
      </c>
    </row>
    <row r="88" spans="1:9" x14ac:dyDescent="0.3">
      <c r="A88">
        <f t="shared" si="2"/>
        <v>87</v>
      </c>
      <c r="B88" t="s">
        <v>194</v>
      </c>
      <c r="C88" t="s">
        <v>380</v>
      </c>
      <c r="D88" s="4">
        <v>3</v>
      </c>
      <c r="E88" s="4">
        <v>2</v>
      </c>
      <c r="F88" s="4">
        <v>3</v>
      </c>
      <c r="G88" s="4">
        <v>3</v>
      </c>
      <c r="H88" s="4">
        <v>2</v>
      </c>
      <c r="I88" s="4" t="s">
        <v>468</v>
      </c>
    </row>
    <row r="89" spans="1:9" x14ac:dyDescent="0.3">
      <c r="A89">
        <f t="shared" si="2"/>
        <v>88</v>
      </c>
      <c r="B89" t="s">
        <v>200</v>
      </c>
      <c r="C89" t="s">
        <v>383</v>
      </c>
      <c r="D89" s="4">
        <v>2</v>
      </c>
      <c r="E89" s="4">
        <v>3</v>
      </c>
      <c r="F89" s="4">
        <v>1</v>
      </c>
      <c r="G89" s="4">
        <v>1</v>
      </c>
      <c r="H89" s="4">
        <v>1</v>
      </c>
      <c r="I89" s="4" t="s">
        <v>469</v>
      </c>
    </row>
    <row r="90" spans="1:9" x14ac:dyDescent="0.3">
      <c r="A90">
        <f t="shared" si="2"/>
        <v>89</v>
      </c>
      <c r="B90" t="s">
        <v>285</v>
      </c>
      <c r="C90" t="s">
        <v>355</v>
      </c>
      <c r="D90" s="4">
        <v>1</v>
      </c>
      <c r="E90" s="4">
        <v>1</v>
      </c>
      <c r="F90" s="4">
        <v>3</v>
      </c>
      <c r="G90" s="4">
        <v>3</v>
      </c>
      <c r="H90" s="4">
        <v>1</v>
      </c>
      <c r="I90" s="4" t="s">
        <v>468</v>
      </c>
    </row>
    <row r="91" spans="1:9" x14ac:dyDescent="0.3">
      <c r="A91">
        <f t="shared" si="2"/>
        <v>90</v>
      </c>
      <c r="B91" t="s">
        <v>192</v>
      </c>
      <c r="C91" t="s">
        <v>379</v>
      </c>
      <c r="D91" s="4">
        <v>3</v>
      </c>
      <c r="E91" s="4">
        <v>1</v>
      </c>
      <c r="F91" s="4">
        <v>3</v>
      </c>
      <c r="G91" s="4">
        <v>3</v>
      </c>
      <c r="H91" s="4">
        <v>1</v>
      </c>
      <c r="I91" s="4" t="s">
        <v>468</v>
      </c>
    </row>
    <row r="92" spans="1:9" x14ac:dyDescent="0.3">
      <c r="A92">
        <f t="shared" si="2"/>
        <v>91</v>
      </c>
      <c r="B92" t="s">
        <v>70</v>
      </c>
      <c r="C92" t="s">
        <v>320</v>
      </c>
      <c r="D92" s="4">
        <v>2</v>
      </c>
      <c r="E92" s="4">
        <v>1</v>
      </c>
      <c r="F92" s="4">
        <v>1</v>
      </c>
      <c r="G92" s="4">
        <v>1</v>
      </c>
      <c r="H92" s="4">
        <v>2</v>
      </c>
      <c r="I92" s="4" t="s">
        <v>469</v>
      </c>
    </row>
    <row r="93" spans="1:9" x14ac:dyDescent="0.3">
      <c r="A93">
        <f t="shared" si="2"/>
        <v>92</v>
      </c>
      <c r="B93" t="s">
        <v>431</v>
      </c>
      <c r="C93" t="str">
        <f>VLOOKUP(B93,'[1]Base Trab'!$A$3:$B$243,2,0)</f>
        <v>PERALTA ESPINOZA GILBERTO IVAN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 t="s">
        <v>467</v>
      </c>
    </row>
    <row r="94" spans="1:9" x14ac:dyDescent="0.3">
      <c r="A94">
        <f t="shared" si="2"/>
        <v>93</v>
      </c>
      <c r="B94" t="s">
        <v>243</v>
      </c>
      <c r="C94" t="s">
        <v>305</v>
      </c>
      <c r="D94" s="4">
        <v>3</v>
      </c>
      <c r="E94" s="4">
        <v>3</v>
      </c>
      <c r="F94" s="4">
        <v>1</v>
      </c>
      <c r="G94" s="4">
        <v>3</v>
      </c>
      <c r="H94" s="4">
        <v>1</v>
      </c>
      <c r="I94" s="4" t="s">
        <v>467</v>
      </c>
    </row>
    <row r="95" spans="1:9" x14ac:dyDescent="0.3">
      <c r="A95">
        <f t="shared" si="2"/>
        <v>94</v>
      </c>
      <c r="B95" t="s">
        <v>174</v>
      </c>
      <c r="C95" t="s">
        <v>370</v>
      </c>
      <c r="D95" s="4">
        <v>3</v>
      </c>
      <c r="E95" s="4">
        <v>3</v>
      </c>
      <c r="F95" s="4">
        <v>3</v>
      </c>
      <c r="G95" s="4">
        <v>3</v>
      </c>
      <c r="H95" s="4">
        <v>1</v>
      </c>
      <c r="I95" s="4" t="s">
        <v>469</v>
      </c>
    </row>
    <row r="96" spans="1:9" x14ac:dyDescent="0.3">
      <c r="A96">
        <f t="shared" si="2"/>
        <v>95</v>
      </c>
      <c r="B96" t="s">
        <v>222</v>
      </c>
      <c r="C96" t="s">
        <v>394</v>
      </c>
      <c r="D96" s="4">
        <v>2</v>
      </c>
      <c r="E96" s="4">
        <v>3</v>
      </c>
      <c r="F96" s="4">
        <v>1</v>
      </c>
      <c r="G96" s="4">
        <v>3</v>
      </c>
      <c r="H96" s="4">
        <v>1</v>
      </c>
      <c r="I96" s="4" t="s">
        <v>468</v>
      </c>
    </row>
    <row r="97" spans="1:9" x14ac:dyDescent="0.3">
      <c r="A97">
        <f t="shared" si="2"/>
        <v>96</v>
      </c>
      <c r="B97" t="s">
        <v>258</v>
      </c>
      <c r="C97" t="s">
        <v>346</v>
      </c>
      <c r="D97" s="4">
        <v>3</v>
      </c>
      <c r="E97" s="4">
        <v>2</v>
      </c>
      <c r="F97" s="4">
        <v>3</v>
      </c>
      <c r="G97" s="4">
        <v>3</v>
      </c>
      <c r="H97" s="4">
        <v>2</v>
      </c>
      <c r="I97" s="4" t="s">
        <v>468</v>
      </c>
    </row>
    <row r="98" spans="1:9" x14ac:dyDescent="0.3">
      <c r="A98">
        <f t="shared" si="2"/>
        <v>97</v>
      </c>
      <c r="B98" t="s">
        <v>415</v>
      </c>
      <c r="C98" t="str">
        <f>VLOOKUP(B98,'[1]Base Trab'!$A$3:$B$243,2,0)</f>
        <v>PINO PULGAR KEVIN ANDRES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 t="s">
        <v>467</v>
      </c>
    </row>
    <row r="99" spans="1:9" x14ac:dyDescent="0.3">
      <c r="A99">
        <f t="shared" si="2"/>
        <v>98</v>
      </c>
      <c r="B99" t="s">
        <v>414</v>
      </c>
      <c r="C99" t="str">
        <f>VLOOKUP(B99,'[1]Base Trab'!$A$3:$B$243,2,0)</f>
        <v>PIÑA RONDA ALAN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 t="s">
        <v>468</v>
      </c>
    </row>
    <row r="100" spans="1:9" x14ac:dyDescent="0.3">
      <c r="A100">
        <f t="shared" si="2"/>
        <v>99</v>
      </c>
      <c r="B100" t="s">
        <v>241</v>
      </c>
      <c r="C100" t="s">
        <v>334</v>
      </c>
      <c r="D100" s="4">
        <v>2</v>
      </c>
      <c r="E100" s="4">
        <v>2</v>
      </c>
      <c r="F100" s="4">
        <v>3</v>
      </c>
      <c r="G100" s="4">
        <v>3</v>
      </c>
      <c r="H100" s="4">
        <v>1</v>
      </c>
      <c r="I100" s="4" t="s">
        <v>469</v>
      </c>
    </row>
    <row r="101" spans="1:9" x14ac:dyDescent="0.3">
      <c r="A101">
        <f t="shared" si="2"/>
        <v>100</v>
      </c>
      <c r="B101" t="s">
        <v>246</v>
      </c>
      <c r="C101" t="s">
        <v>311</v>
      </c>
      <c r="D101" s="4">
        <v>3</v>
      </c>
      <c r="E101" s="4">
        <v>3</v>
      </c>
      <c r="F101" s="4">
        <v>1</v>
      </c>
      <c r="G101" s="4">
        <v>3</v>
      </c>
      <c r="H101" s="4">
        <v>1</v>
      </c>
      <c r="I101" s="4" t="s">
        <v>469</v>
      </c>
    </row>
    <row r="102" spans="1:9" x14ac:dyDescent="0.3">
      <c r="A102">
        <f t="shared" si="2"/>
        <v>101</v>
      </c>
      <c r="B102" t="s">
        <v>112</v>
      </c>
      <c r="C102" t="s">
        <v>340</v>
      </c>
      <c r="D102" s="4">
        <v>2</v>
      </c>
      <c r="E102" s="4">
        <v>3</v>
      </c>
      <c r="F102" s="4">
        <v>1</v>
      </c>
      <c r="G102" s="4">
        <v>1</v>
      </c>
      <c r="H102" s="4">
        <v>1</v>
      </c>
      <c r="I102" s="4" t="s">
        <v>469</v>
      </c>
    </row>
    <row r="103" spans="1:9" x14ac:dyDescent="0.3">
      <c r="A103">
        <f t="shared" si="2"/>
        <v>102</v>
      </c>
      <c r="B103" t="s">
        <v>54</v>
      </c>
      <c r="C103" t="s">
        <v>312</v>
      </c>
      <c r="D103" s="4">
        <v>3</v>
      </c>
      <c r="E103" s="4">
        <v>1</v>
      </c>
      <c r="F103" s="4">
        <v>1</v>
      </c>
      <c r="G103" s="4">
        <v>3</v>
      </c>
      <c r="H103" s="4">
        <v>2</v>
      </c>
      <c r="I103" s="4" t="s">
        <v>468</v>
      </c>
    </row>
    <row r="104" spans="1:9" x14ac:dyDescent="0.3">
      <c r="A104">
        <f t="shared" si="2"/>
        <v>103</v>
      </c>
      <c r="B104" t="s">
        <v>411</v>
      </c>
      <c r="C104" t="str">
        <f>VLOOKUP(B104,'[1]Base Trab'!$A$3:$B$243,2,0)</f>
        <v>RAMOS RODRIGUEZ JAIVER GABRIEL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 t="s">
        <v>468</v>
      </c>
    </row>
    <row r="105" spans="1:9" x14ac:dyDescent="0.3">
      <c r="A105">
        <f t="shared" si="2"/>
        <v>104</v>
      </c>
      <c r="B105" t="s">
        <v>422</v>
      </c>
      <c r="C105" t="str">
        <f>VLOOKUP(B105,'[1]Base Trab'!$A$3:$B$243,2,0)</f>
        <v>REBOLLEDO TREJOS NICOLAS ALEJANDRO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 t="s">
        <v>468</v>
      </c>
    </row>
    <row r="106" spans="1:9" x14ac:dyDescent="0.3">
      <c r="A106">
        <f t="shared" si="2"/>
        <v>105</v>
      </c>
      <c r="B106" t="s">
        <v>264</v>
      </c>
      <c r="C106" t="s">
        <v>364</v>
      </c>
      <c r="D106" s="4" t="s">
        <v>16</v>
      </c>
      <c r="E106" s="4" t="s">
        <v>18</v>
      </c>
      <c r="F106" s="4" t="s">
        <v>18</v>
      </c>
      <c r="G106" s="4" t="s">
        <v>16</v>
      </c>
      <c r="H106" s="4" t="s">
        <v>16</v>
      </c>
      <c r="I106" s="4" t="s">
        <v>468</v>
      </c>
    </row>
    <row r="107" spans="1:9" x14ac:dyDescent="0.3">
      <c r="A107">
        <f t="shared" si="2"/>
        <v>106</v>
      </c>
      <c r="B107" t="s">
        <v>202</v>
      </c>
      <c r="C107" t="s">
        <v>384</v>
      </c>
      <c r="D107" s="4">
        <v>3</v>
      </c>
      <c r="E107" s="4">
        <v>3</v>
      </c>
      <c r="F107" s="4">
        <v>1</v>
      </c>
      <c r="G107" s="4">
        <v>3</v>
      </c>
      <c r="H107" s="4">
        <v>1</v>
      </c>
      <c r="I107" s="4" t="s">
        <v>468</v>
      </c>
    </row>
    <row r="108" spans="1:9" x14ac:dyDescent="0.3">
      <c r="A108">
        <f t="shared" si="2"/>
        <v>107</v>
      </c>
      <c r="B108" t="s">
        <v>148</v>
      </c>
      <c r="C108" t="s">
        <v>357</v>
      </c>
      <c r="D108" s="4">
        <v>2</v>
      </c>
      <c r="E108" s="4">
        <v>3</v>
      </c>
      <c r="F108" s="4">
        <v>3</v>
      </c>
      <c r="G108" s="4">
        <v>2</v>
      </c>
      <c r="H108" s="4">
        <v>2</v>
      </c>
      <c r="I108" s="4" t="s">
        <v>468</v>
      </c>
    </row>
    <row r="109" spans="1:9" x14ac:dyDescent="0.3">
      <c r="A109">
        <f t="shared" si="2"/>
        <v>108</v>
      </c>
      <c r="B109" t="s">
        <v>428</v>
      </c>
      <c r="C109" t="str">
        <f>VLOOKUP(B109,'[1]Base Trab'!$A$3:$B$243,2,0)</f>
        <v>RUBIO VARAS SANTOS FELIPE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 t="s">
        <v>469</v>
      </c>
    </row>
    <row r="110" spans="1:9" x14ac:dyDescent="0.3">
      <c r="A110">
        <f t="shared" si="2"/>
        <v>109</v>
      </c>
      <c r="B110" t="s">
        <v>262</v>
      </c>
      <c r="C110" t="s">
        <v>359</v>
      </c>
      <c r="D110" s="4">
        <v>2</v>
      </c>
      <c r="E110" s="4">
        <v>3</v>
      </c>
      <c r="F110" s="4">
        <v>1</v>
      </c>
      <c r="G110" s="4">
        <v>1</v>
      </c>
      <c r="H110" s="4">
        <v>2</v>
      </c>
      <c r="I110" s="4" t="s">
        <v>468</v>
      </c>
    </row>
    <row r="111" spans="1:9" x14ac:dyDescent="0.3">
      <c r="A111">
        <f t="shared" si="2"/>
        <v>110</v>
      </c>
      <c r="B111" t="s">
        <v>242</v>
      </c>
      <c r="C111" t="s">
        <v>399</v>
      </c>
      <c r="D111" s="4">
        <v>2</v>
      </c>
      <c r="E111" s="4">
        <v>1</v>
      </c>
      <c r="F111" s="4">
        <v>2</v>
      </c>
      <c r="G111" s="4">
        <v>2</v>
      </c>
      <c r="H111" s="4">
        <v>1</v>
      </c>
      <c r="I111" s="4" t="s">
        <v>469</v>
      </c>
    </row>
    <row r="112" spans="1:9" x14ac:dyDescent="0.3">
      <c r="A112">
        <f t="shared" si="2"/>
        <v>111</v>
      </c>
      <c r="B112" t="s">
        <v>288</v>
      </c>
      <c r="C112" t="s">
        <v>395</v>
      </c>
      <c r="D112" s="4">
        <v>3</v>
      </c>
      <c r="E112" s="4">
        <v>1</v>
      </c>
      <c r="F112" s="4">
        <v>3</v>
      </c>
      <c r="G112" s="4">
        <v>3</v>
      </c>
      <c r="H112" s="4">
        <v>1</v>
      </c>
      <c r="I112" s="4" t="s">
        <v>468</v>
      </c>
    </row>
    <row r="113" spans="1:9" x14ac:dyDescent="0.3">
      <c r="A113">
        <f t="shared" si="2"/>
        <v>112</v>
      </c>
      <c r="B113" t="s">
        <v>15</v>
      </c>
      <c r="C113" t="s">
        <v>296</v>
      </c>
      <c r="D113" s="4" t="s">
        <v>16</v>
      </c>
      <c r="E113" s="4">
        <v>3</v>
      </c>
      <c r="F113" s="4" t="s">
        <v>18</v>
      </c>
      <c r="G113" s="4" t="s">
        <v>16</v>
      </c>
      <c r="H113" s="4" t="s">
        <v>16</v>
      </c>
      <c r="I113" s="4" t="s">
        <v>467</v>
      </c>
    </row>
    <row r="114" spans="1:9" x14ac:dyDescent="0.3">
      <c r="A114">
        <f t="shared" si="2"/>
        <v>113</v>
      </c>
      <c r="B114" t="s">
        <v>269</v>
      </c>
      <c r="C114" t="s">
        <v>376</v>
      </c>
      <c r="D114" s="4">
        <v>2</v>
      </c>
      <c r="E114" s="4">
        <v>3</v>
      </c>
      <c r="F114" s="4">
        <v>1</v>
      </c>
      <c r="G114" s="4">
        <v>1</v>
      </c>
      <c r="H114" s="4">
        <v>2</v>
      </c>
      <c r="I114" s="4" t="s">
        <v>469</v>
      </c>
    </row>
    <row r="115" spans="1:9" x14ac:dyDescent="0.3">
      <c r="A115">
        <f t="shared" si="2"/>
        <v>114</v>
      </c>
      <c r="B115" t="s">
        <v>287</v>
      </c>
      <c r="C115" t="s">
        <v>366</v>
      </c>
      <c r="D115" s="4">
        <v>2</v>
      </c>
      <c r="E115" s="4">
        <v>3</v>
      </c>
      <c r="F115" s="4">
        <v>1</v>
      </c>
      <c r="G115" s="4">
        <v>3</v>
      </c>
      <c r="H115" s="4">
        <v>2</v>
      </c>
      <c r="I115" s="4" t="s">
        <v>468</v>
      </c>
    </row>
    <row r="116" spans="1:9" x14ac:dyDescent="0.3">
      <c r="A116">
        <f t="shared" si="2"/>
        <v>115</v>
      </c>
      <c r="B116" t="s">
        <v>268</v>
      </c>
      <c r="C116" t="s">
        <v>374</v>
      </c>
      <c r="D116" s="4">
        <v>2</v>
      </c>
      <c r="E116" s="4">
        <v>2</v>
      </c>
      <c r="F116" s="4">
        <v>1</v>
      </c>
      <c r="G116" s="4">
        <v>2</v>
      </c>
      <c r="H116" s="4">
        <v>1</v>
      </c>
      <c r="I116" s="4" t="s">
        <v>469</v>
      </c>
    </row>
    <row r="117" spans="1:9" x14ac:dyDescent="0.3">
      <c r="A117">
        <f t="shared" si="2"/>
        <v>116</v>
      </c>
      <c r="B117" t="s">
        <v>208</v>
      </c>
      <c r="C117" t="s">
        <v>387</v>
      </c>
      <c r="D117" s="4" t="s">
        <v>16</v>
      </c>
      <c r="E117" s="4" t="s">
        <v>18</v>
      </c>
      <c r="F117" s="4" t="s">
        <v>18</v>
      </c>
      <c r="G117" s="4">
        <v>1</v>
      </c>
      <c r="H117" s="4">
        <v>1</v>
      </c>
      <c r="I117" s="4" t="s">
        <v>470</v>
      </c>
    </row>
    <row r="118" spans="1:9" x14ac:dyDescent="0.3">
      <c r="A118">
        <f t="shared" si="2"/>
        <v>117</v>
      </c>
      <c r="B118" t="s">
        <v>172</v>
      </c>
      <c r="C118" t="s">
        <v>369</v>
      </c>
      <c r="D118" s="4">
        <v>2</v>
      </c>
      <c r="E118" s="4">
        <v>3</v>
      </c>
      <c r="F118" s="4">
        <v>1</v>
      </c>
      <c r="G118" s="4">
        <v>3</v>
      </c>
      <c r="H118" s="4">
        <v>2</v>
      </c>
      <c r="I118" s="4" t="s">
        <v>471</v>
      </c>
    </row>
    <row r="119" spans="1:9" x14ac:dyDescent="0.3">
      <c r="A119">
        <f t="shared" si="2"/>
        <v>118</v>
      </c>
      <c r="B119" t="s">
        <v>249</v>
      </c>
      <c r="C119" t="s">
        <v>317</v>
      </c>
      <c r="D119" s="4">
        <v>2</v>
      </c>
      <c r="E119" s="4">
        <v>3</v>
      </c>
      <c r="F119" s="4">
        <v>1</v>
      </c>
      <c r="G119" s="4">
        <v>3</v>
      </c>
      <c r="H119" s="4">
        <v>2</v>
      </c>
      <c r="I119" s="4" t="s">
        <v>467</v>
      </c>
    </row>
    <row r="120" spans="1:9" x14ac:dyDescent="0.3">
      <c r="A120">
        <f t="shared" si="2"/>
        <v>119</v>
      </c>
      <c r="B120" t="s">
        <v>292</v>
      </c>
      <c r="C120" t="s">
        <v>368</v>
      </c>
      <c r="D120" s="4">
        <v>3</v>
      </c>
      <c r="E120" s="4">
        <v>3</v>
      </c>
      <c r="F120" s="4">
        <v>3</v>
      </c>
      <c r="G120" s="4">
        <v>3</v>
      </c>
      <c r="H120" s="4">
        <v>2</v>
      </c>
      <c r="I120" s="4" t="s">
        <v>468</v>
      </c>
    </row>
    <row r="121" spans="1:9" x14ac:dyDescent="0.3">
      <c r="A121">
        <f t="shared" si="2"/>
        <v>120</v>
      </c>
      <c r="B121" t="s">
        <v>272</v>
      </c>
      <c r="C121" t="s">
        <v>382</v>
      </c>
      <c r="D121" s="4">
        <v>1</v>
      </c>
      <c r="E121" s="4">
        <v>2</v>
      </c>
      <c r="F121" s="4">
        <v>3</v>
      </c>
      <c r="G121" s="4">
        <v>2</v>
      </c>
      <c r="H121" s="4">
        <v>1</v>
      </c>
      <c r="I121" s="4" t="s">
        <v>467</v>
      </c>
    </row>
    <row r="122" spans="1:9" x14ac:dyDescent="0.3">
      <c r="A122">
        <f t="shared" si="2"/>
        <v>121</v>
      </c>
      <c r="B122" t="s">
        <v>423</v>
      </c>
      <c r="C122" t="str">
        <f>VLOOKUP(B122,'[1]Base Trab'!$A$3:$B$243,2,0)</f>
        <v>SOTO REUMANTE CHRISTIAN ALEXIS</v>
      </c>
      <c r="D122" s="4">
        <v>1</v>
      </c>
      <c r="E122" s="4">
        <v>1</v>
      </c>
      <c r="F122" s="4">
        <v>1</v>
      </c>
      <c r="G122" s="4">
        <v>1</v>
      </c>
      <c r="H122" s="4">
        <v>1</v>
      </c>
      <c r="I122" s="4" t="s">
        <v>468</v>
      </c>
    </row>
    <row r="123" spans="1:9" x14ac:dyDescent="0.3">
      <c r="A123">
        <f t="shared" si="2"/>
        <v>122</v>
      </c>
      <c r="B123" t="s">
        <v>230</v>
      </c>
      <c r="C123" t="s">
        <v>398</v>
      </c>
      <c r="D123" s="4">
        <v>2</v>
      </c>
      <c r="E123" s="4">
        <v>2</v>
      </c>
      <c r="F123" s="4">
        <v>2</v>
      </c>
      <c r="G123" s="4">
        <v>1</v>
      </c>
      <c r="H123" s="4">
        <v>1</v>
      </c>
      <c r="I123" s="4" t="s">
        <v>468</v>
      </c>
    </row>
    <row r="124" spans="1:9" x14ac:dyDescent="0.3">
      <c r="A124">
        <f t="shared" si="2"/>
        <v>123</v>
      </c>
      <c r="B124" t="s">
        <v>130</v>
      </c>
      <c r="C124" t="s">
        <v>349</v>
      </c>
      <c r="D124" s="4">
        <v>2</v>
      </c>
      <c r="E124" s="4">
        <v>1</v>
      </c>
      <c r="F124" s="4">
        <v>1</v>
      </c>
      <c r="G124" s="4">
        <v>1</v>
      </c>
      <c r="H124" s="4">
        <v>2</v>
      </c>
      <c r="I124" s="4" t="s">
        <v>469</v>
      </c>
    </row>
    <row r="125" spans="1:9" x14ac:dyDescent="0.3">
      <c r="A125">
        <f t="shared" si="2"/>
        <v>124</v>
      </c>
      <c r="B125" t="s">
        <v>226</v>
      </c>
      <c r="C125" t="s">
        <v>396</v>
      </c>
      <c r="D125" s="4">
        <v>2</v>
      </c>
      <c r="E125" s="4">
        <v>2</v>
      </c>
      <c r="F125" s="4">
        <v>1</v>
      </c>
      <c r="G125" s="4">
        <v>3</v>
      </c>
      <c r="H125" s="4">
        <v>2</v>
      </c>
      <c r="I125" s="4" t="s">
        <v>467</v>
      </c>
    </row>
    <row r="126" spans="1:9" x14ac:dyDescent="0.3">
      <c r="A126">
        <f t="shared" si="2"/>
        <v>125</v>
      </c>
      <c r="B126" t="s">
        <v>410</v>
      </c>
      <c r="C126" t="str">
        <f>VLOOKUP(B126,'[1]Base Trab'!$A$3:$B$243,2,0)</f>
        <v>VALDES SEPULVEDA JAVIER ABDON</v>
      </c>
      <c r="D126" s="4">
        <v>1</v>
      </c>
      <c r="E126" s="4">
        <v>1</v>
      </c>
      <c r="F126" s="4">
        <v>1</v>
      </c>
      <c r="G126" s="4">
        <v>1</v>
      </c>
      <c r="H126" s="4">
        <v>1</v>
      </c>
      <c r="I126" s="4" t="s">
        <v>469</v>
      </c>
    </row>
    <row r="127" spans="1:9" x14ac:dyDescent="0.3">
      <c r="A127">
        <f t="shared" si="2"/>
        <v>126</v>
      </c>
      <c r="B127" t="s">
        <v>281</v>
      </c>
      <c r="C127" t="s">
        <v>324</v>
      </c>
      <c r="D127" s="4">
        <v>3</v>
      </c>
      <c r="E127" s="4">
        <v>3</v>
      </c>
      <c r="F127" s="4">
        <v>3</v>
      </c>
      <c r="G127" s="4">
        <v>3</v>
      </c>
      <c r="H127" s="4">
        <v>1</v>
      </c>
      <c r="I127" s="4" t="s">
        <v>468</v>
      </c>
    </row>
    <row r="128" spans="1:9" x14ac:dyDescent="0.3">
      <c r="A128">
        <f t="shared" si="2"/>
        <v>127</v>
      </c>
      <c r="B128" t="s">
        <v>76</v>
      </c>
      <c r="C128" t="s">
        <v>323</v>
      </c>
      <c r="D128" s="4">
        <v>1</v>
      </c>
      <c r="E128" s="4">
        <v>3</v>
      </c>
      <c r="F128" s="4">
        <v>3</v>
      </c>
      <c r="G128" s="4">
        <v>2</v>
      </c>
      <c r="H128" s="4">
        <v>2</v>
      </c>
      <c r="I128" s="4" t="s">
        <v>467</v>
      </c>
    </row>
    <row r="129" spans="1:9" x14ac:dyDescent="0.3">
      <c r="A129">
        <f t="shared" si="2"/>
        <v>128</v>
      </c>
      <c r="B129" t="s">
        <v>275</v>
      </c>
      <c r="C129" t="s">
        <v>392</v>
      </c>
      <c r="D129" s="4">
        <v>2</v>
      </c>
      <c r="E129" s="4">
        <v>3</v>
      </c>
      <c r="F129" s="4">
        <v>3</v>
      </c>
      <c r="G129" s="4">
        <v>2</v>
      </c>
      <c r="H129" s="4">
        <v>2</v>
      </c>
      <c r="I129" s="4" t="s">
        <v>471</v>
      </c>
    </row>
    <row r="130" spans="1:9" x14ac:dyDescent="0.3">
      <c r="A130">
        <f t="shared" si="2"/>
        <v>129</v>
      </c>
      <c r="B130" t="s">
        <v>266</v>
      </c>
      <c r="C130" t="s">
        <v>371</v>
      </c>
      <c r="D130" s="4">
        <v>2</v>
      </c>
      <c r="E130" s="4">
        <v>3</v>
      </c>
      <c r="F130" s="4">
        <v>2</v>
      </c>
      <c r="G130" s="4">
        <v>1</v>
      </c>
      <c r="H130" s="4">
        <v>1</v>
      </c>
      <c r="I130" s="4" t="s">
        <v>468</v>
      </c>
    </row>
    <row r="131" spans="1:9" x14ac:dyDescent="0.3">
      <c r="A131">
        <f t="shared" si="2"/>
        <v>130</v>
      </c>
      <c r="B131" t="s">
        <v>407</v>
      </c>
      <c r="C131" t="str">
        <f>VLOOKUP(B131,'[1]Base Trab'!$A$3:$B$243,2,0)</f>
        <v>VELASQUEZ VASQUEZ JACOB ARCADIO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 t="s">
        <v>469</v>
      </c>
    </row>
    <row r="132" spans="1:9" x14ac:dyDescent="0.3">
      <c r="A132">
        <f t="shared" si="2"/>
        <v>131</v>
      </c>
      <c r="B132" t="s">
        <v>206</v>
      </c>
      <c r="C132" t="s">
        <v>386</v>
      </c>
      <c r="D132" s="4">
        <v>3</v>
      </c>
      <c r="E132" s="4">
        <v>3</v>
      </c>
      <c r="F132" s="4">
        <v>1</v>
      </c>
      <c r="G132" s="4">
        <v>3</v>
      </c>
      <c r="H132" s="4">
        <v>2</v>
      </c>
      <c r="I132" s="4" t="s">
        <v>467</v>
      </c>
    </row>
    <row r="133" spans="1:9" x14ac:dyDescent="0.3">
      <c r="A133">
        <f t="shared" si="2"/>
        <v>132</v>
      </c>
      <c r="B133" t="s">
        <v>210</v>
      </c>
      <c r="C133" t="s">
        <v>388</v>
      </c>
      <c r="D133" s="4">
        <v>2</v>
      </c>
      <c r="E133" s="4">
        <v>3</v>
      </c>
      <c r="F133" s="4">
        <v>3</v>
      </c>
      <c r="G133" s="4">
        <v>3</v>
      </c>
      <c r="H133" s="4">
        <v>1</v>
      </c>
      <c r="I133" s="4" t="s">
        <v>468</v>
      </c>
    </row>
    <row r="134" spans="1:9" x14ac:dyDescent="0.3">
      <c r="A134">
        <f t="shared" si="2"/>
        <v>133</v>
      </c>
      <c r="B134" t="s">
        <v>409</v>
      </c>
      <c r="C134" t="str">
        <f>VLOOKUP(B134,'[1]Base Trab'!$A$3:$B$243,2,0)</f>
        <v>VILLAGRAN MACHUCA NATANAEL RODRIGO</v>
      </c>
      <c r="D134" s="4">
        <v>1</v>
      </c>
      <c r="E134" s="4">
        <v>1</v>
      </c>
      <c r="F134" s="4">
        <v>1</v>
      </c>
      <c r="G134" s="4">
        <v>1</v>
      </c>
      <c r="H134" s="4">
        <v>1</v>
      </c>
      <c r="I134" s="4" t="s">
        <v>467</v>
      </c>
    </row>
    <row r="135" spans="1:9" x14ac:dyDescent="0.3">
      <c r="A135">
        <f t="shared" ref="A135:A142" si="3">+A134+1</f>
        <v>134</v>
      </c>
      <c r="B135" t="s">
        <v>52</v>
      </c>
      <c r="C135" t="s">
        <v>295</v>
      </c>
      <c r="D135" s="4">
        <v>2</v>
      </c>
      <c r="E135" s="4">
        <v>3</v>
      </c>
      <c r="F135" s="4">
        <v>1</v>
      </c>
      <c r="G135" s="4">
        <v>1</v>
      </c>
      <c r="H135" s="4">
        <v>2</v>
      </c>
      <c r="I135" s="4" t="s">
        <v>467</v>
      </c>
    </row>
    <row r="136" spans="1:9" x14ac:dyDescent="0.3">
      <c r="A136">
        <f t="shared" si="3"/>
        <v>135</v>
      </c>
      <c r="B136" t="s">
        <v>413</v>
      </c>
      <c r="C136" t="str">
        <f>VLOOKUP(B136,'[1]Base Trab'!$A$3:$B$243,2,0)</f>
        <v>VILLANUEVA SEPULVEDA ANDRO JARED</v>
      </c>
      <c r="D136" s="4">
        <v>1</v>
      </c>
      <c r="E136" s="4">
        <v>1</v>
      </c>
      <c r="F136" s="4">
        <v>1</v>
      </c>
      <c r="G136" s="4">
        <v>1</v>
      </c>
      <c r="H136" s="4">
        <v>1</v>
      </c>
      <c r="I136" s="4" t="s">
        <v>469</v>
      </c>
    </row>
    <row r="137" spans="1:9" x14ac:dyDescent="0.3">
      <c r="A137">
        <f t="shared" si="3"/>
        <v>136</v>
      </c>
      <c r="B137" t="s">
        <v>220</v>
      </c>
      <c r="C137" t="s">
        <v>393</v>
      </c>
      <c r="D137" s="4">
        <v>3</v>
      </c>
      <c r="E137" s="4">
        <v>3</v>
      </c>
      <c r="F137" s="4">
        <v>3</v>
      </c>
      <c r="G137" s="4">
        <v>3</v>
      </c>
      <c r="H137" s="4">
        <v>2</v>
      </c>
      <c r="I137" s="4" t="s">
        <v>468</v>
      </c>
    </row>
    <row r="138" spans="1:9" x14ac:dyDescent="0.3">
      <c r="A138">
        <f t="shared" si="3"/>
        <v>137</v>
      </c>
      <c r="B138" t="s">
        <v>234</v>
      </c>
      <c r="C138" t="s">
        <v>400</v>
      </c>
      <c r="D138" s="4">
        <v>2</v>
      </c>
      <c r="E138" s="4">
        <v>1</v>
      </c>
      <c r="F138" s="4">
        <v>1</v>
      </c>
      <c r="G138" s="4">
        <v>1</v>
      </c>
      <c r="H138" s="4">
        <v>2</v>
      </c>
      <c r="I138" s="4" t="s">
        <v>469</v>
      </c>
    </row>
    <row r="139" spans="1:9" x14ac:dyDescent="0.3">
      <c r="A139">
        <f t="shared" si="3"/>
        <v>138</v>
      </c>
      <c r="B139" t="s">
        <v>252</v>
      </c>
      <c r="C139" t="s">
        <v>327</v>
      </c>
      <c r="D139" s="4">
        <v>2</v>
      </c>
      <c r="E139" s="4">
        <v>3</v>
      </c>
      <c r="F139" s="4">
        <v>1</v>
      </c>
      <c r="G139" s="4">
        <v>2</v>
      </c>
      <c r="H139" s="4">
        <v>1</v>
      </c>
      <c r="I139" s="4" t="s">
        <v>468</v>
      </c>
    </row>
    <row r="140" spans="1:9" x14ac:dyDescent="0.3">
      <c r="A140">
        <f t="shared" si="3"/>
        <v>139</v>
      </c>
      <c r="B140" t="s">
        <v>196</v>
      </c>
      <c r="C140" t="s">
        <v>381</v>
      </c>
      <c r="D140" s="4">
        <v>2</v>
      </c>
      <c r="E140" s="4">
        <v>2</v>
      </c>
      <c r="F140" s="4">
        <v>1</v>
      </c>
      <c r="G140" s="4">
        <v>1</v>
      </c>
      <c r="H140" s="4">
        <v>2</v>
      </c>
      <c r="I140" s="4" t="s">
        <v>468</v>
      </c>
    </row>
    <row r="141" spans="1:9" x14ac:dyDescent="0.3">
      <c r="A141">
        <f t="shared" si="3"/>
        <v>140</v>
      </c>
      <c r="B141" t="s">
        <v>263</v>
      </c>
      <c r="C141" t="s">
        <v>362</v>
      </c>
      <c r="D141" s="4">
        <v>1</v>
      </c>
      <c r="E141" s="4">
        <v>3</v>
      </c>
      <c r="F141" s="4">
        <v>1</v>
      </c>
      <c r="G141" s="4">
        <v>3</v>
      </c>
      <c r="H141" s="4">
        <v>2</v>
      </c>
      <c r="I141" s="4" t="s">
        <v>468</v>
      </c>
    </row>
    <row r="142" spans="1:9" x14ac:dyDescent="0.3">
      <c r="A142">
        <f t="shared" si="3"/>
        <v>141</v>
      </c>
      <c r="B142" t="s">
        <v>238</v>
      </c>
      <c r="C142" t="s">
        <v>402</v>
      </c>
      <c r="D142" s="4">
        <v>2</v>
      </c>
      <c r="E142" s="4">
        <v>3</v>
      </c>
      <c r="F142" s="4">
        <v>1</v>
      </c>
      <c r="G142" s="4">
        <v>3</v>
      </c>
      <c r="H142" s="4">
        <v>2</v>
      </c>
      <c r="I142" s="4" t="s">
        <v>468</v>
      </c>
    </row>
    <row r="143" spans="1:9" x14ac:dyDescent="0.3">
      <c r="A143">
        <f>+A142+1</f>
        <v>142</v>
      </c>
      <c r="B143" t="s">
        <v>106</v>
      </c>
      <c r="C143" t="s">
        <v>337</v>
      </c>
      <c r="D143" s="4">
        <v>2</v>
      </c>
      <c r="E143" s="4">
        <v>3</v>
      </c>
      <c r="F143" s="4">
        <v>1</v>
      </c>
      <c r="G143" s="4">
        <v>3</v>
      </c>
      <c r="H143" s="4">
        <v>1</v>
      </c>
      <c r="I143" s="4" t="s">
        <v>468</v>
      </c>
    </row>
    <row r="144" spans="1:9" x14ac:dyDescent="0.3">
      <c r="B144" t="s">
        <v>432</v>
      </c>
      <c r="C144" t="s">
        <v>448</v>
      </c>
      <c r="D144" s="4">
        <v>1</v>
      </c>
      <c r="E144" s="4">
        <v>1</v>
      </c>
      <c r="F144" s="4">
        <v>1</v>
      </c>
      <c r="G144" s="4">
        <v>1</v>
      </c>
      <c r="H144" s="4">
        <v>1</v>
      </c>
      <c r="I144" s="4" t="s">
        <v>468</v>
      </c>
    </row>
    <row r="145" spans="2:9" x14ac:dyDescent="0.3">
      <c r="B145" t="s">
        <v>433</v>
      </c>
      <c r="C145" t="s">
        <v>449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 t="s">
        <v>469</v>
      </c>
    </row>
    <row r="146" spans="2:9" x14ac:dyDescent="0.3">
      <c r="B146" t="s">
        <v>434</v>
      </c>
      <c r="C146" t="s">
        <v>450</v>
      </c>
      <c r="D146" s="4">
        <v>1</v>
      </c>
      <c r="E146" s="4">
        <v>1</v>
      </c>
      <c r="F146" s="4">
        <v>1</v>
      </c>
      <c r="G146" s="4">
        <v>1</v>
      </c>
      <c r="H146" s="4">
        <v>1</v>
      </c>
      <c r="I146" s="4" t="s">
        <v>471</v>
      </c>
    </row>
    <row r="147" spans="2:9" x14ac:dyDescent="0.3">
      <c r="B147" t="s">
        <v>435</v>
      </c>
      <c r="C147" t="s">
        <v>451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 t="s">
        <v>469</v>
      </c>
    </row>
    <row r="148" spans="2:9" x14ac:dyDescent="0.3">
      <c r="B148" t="s">
        <v>436</v>
      </c>
      <c r="C148" t="s">
        <v>452</v>
      </c>
      <c r="D148" s="4">
        <v>3</v>
      </c>
      <c r="E148" s="4">
        <v>3</v>
      </c>
      <c r="F148" s="4">
        <v>3</v>
      </c>
      <c r="G148" s="4">
        <v>3</v>
      </c>
      <c r="H148" s="4">
        <v>1</v>
      </c>
      <c r="I148" s="4" t="s">
        <v>469</v>
      </c>
    </row>
    <row r="149" spans="2:9" x14ac:dyDescent="0.3">
      <c r="B149" t="s">
        <v>437</v>
      </c>
      <c r="C149" t="s">
        <v>453</v>
      </c>
      <c r="D149" s="4">
        <v>3</v>
      </c>
      <c r="E149" s="4">
        <v>3</v>
      </c>
      <c r="F149" s="4">
        <v>3</v>
      </c>
      <c r="G149" s="4">
        <v>3</v>
      </c>
      <c r="H149" s="4">
        <v>1</v>
      </c>
      <c r="I149" s="4" t="s">
        <v>467</v>
      </c>
    </row>
    <row r="150" spans="2:9" x14ac:dyDescent="0.3">
      <c r="B150" t="s">
        <v>438</v>
      </c>
      <c r="C150" t="s">
        <v>454</v>
      </c>
      <c r="D150" s="4">
        <v>1</v>
      </c>
      <c r="E150" s="4">
        <v>1</v>
      </c>
      <c r="F150" s="4">
        <v>1</v>
      </c>
      <c r="G150" s="4">
        <v>1</v>
      </c>
      <c r="H150" s="4">
        <v>1</v>
      </c>
      <c r="I150" s="4" t="s">
        <v>468</v>
      </c>
    </row>
    <row r="151" spans="2:9" x14ac:dyDescent="0.3">
      <c r="B151" t="s">
        <v>439</v>
      </c>
      <c r="C151" t="s">
        <v>455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 t="s">
        <v>471</v>
      </c>
    </row>
    <row r="152" spans="2:9" x14ac:dyDescent="0.3">
      <c r="B152" t="s">
        <v>440</v>
      </c>
      <c r="C152" t="s">
        <v>456</v>
      </c>
      <c r="D152" s="4">
        <v>1</v>
      </c>
      <c r="E152" s="4">
        <v>1</v>
      </c>
      <c r="F152" s="4">
        <v>1</v>
      </c>
      <c r="G152" s="4">
        <v>1</v>
      </c>
      <c r="H152" s="4">
        <v>1</v>
      </c>
      <c r="I152" s="4" t="s">
        <v>468</v>
      </c>
    </row>
    <row r="153" spans="2:9" x14ac:dyDescent="0.3">
      <c r="B153" t="s">
        <v>441</v>
      </c>
      <c r="C153" t="s">
        <v>457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 t="s">
        <v>469</v>
      </c>
    </row>
    <row r="154" spans="2:9" x14ac:dyDescent="0.3">
      <c r="B154" t="s">
        <v>438</v>
      </c>
      <c r="C154" t="s">
        <v>458</v>
      </c>
      <c r="D154" s="4">
        <v>2</v>
      </c>
      <c r="E154" s="4">
        <v>3</v>
      </c>
      <c r="F154" s="4">
        <v>3</v>
      </c>
      <c r="G154" s="4">
        <v>2</v>
      </c>
      <c r="H154" s="4">
        <v>2</v>
      </c>
      <c r="I154" s="4" t="s">
        <v>468</v>
      </c>
    </row>
    <row r="155" spans="2:9" x14ac:dyDescent="0.3">
      <c r="B155" t="s">
        <v>200</v>
      </c>
      <c r="C155" t="s">
        <v>383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 t="s">
        <v>469</v>
      </c>
    </row>
    <row r="156" spans="2:9" x14ac:dyDescent="0.3">
      <c r="B156" t="s">
        <v>442</v>
      </c>
      <c r="C156" t="s">
        <v>459</v>
      </c>
      <c r="D156" s="4">
        <v>1</v>
      </c>
      <c r="E156" s="4">
        <v>1</v>
      </c>
      <c r="F156" s="4">
        <v>1</v>
      </c>
      <c r="G156" s="4">
        <v>1</v>
      </c>
      <c r="H156" s="4">
        <v>1</v>
      </c>
      <c r="I156" s="4" t="s">
        <v>468</v>
      </c>
    </row>
    <row r="157" spans="2:9" x14ac:dyDescent="0.3">
      <c r="B157" t="s">
        <v>443</v>
      </c>
      <c r="C157" t="s">
        <v>460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 t="s">
        <v>468</v>
      </c>
    </row>
    <row r="158" spans="2:9" x14ac:dyDescent="0.3">
      <c r="B158" t="s">
        <v>444</v>
      </c>
      <c r="C158" t="s">
        <v>461</v>
      </c>
      <c r="D158" s="4">
        <v>1</v>
      </c>
      <c r="E158" s="4">
        <v>1</v>
      </c>
      <c r="F158" s="4">
        <v>1</v>
      </c>
      <c r="G158" s="4">
        <v>3</v>
      </c>
      <c r="H158" s="4">
        <v>2</v>
      </c>
      <c r="I158" s="4" t="s">
        <v>471</v>
      </c>
    </row>
    <row r="159" spans="2:9" x14ac:dyDescent="0.3">
      <c r="B159" t="s">
        <v>435</v>
      </c>
      <c r="C159" t="s">
        <v>462</v>
      </c>
      <c r="D159" s="4">
        <v>3</v>
      </c>
      <c r="E159" s="4">
        <v>3</v>
      </c>
      <c r="F159" s="4">
        <v>3</v>
      </c>
      <c r="G159" s="4">
        <v>3</v>
      </c>
      <c r="H159" s="4">
        <v>1</v>
      </c>
      <c r="I159" s="4" t="s">
        <v>469</v>
      </c>
    </row>
    <row r="160" spans="2:9" x14ac:dyDescent="0.3">
      <c r="B160" t="s">
        <v>445</v>
      </c>
      <c r="C160" t="s">
        <v>463</v>
      </c>
      <c r="D160" s="4">
        <v>3</v>
      </c>
      <c r="E160" s="4">
        <v>3</v>
      </c>
      <c r="F160" s="4">
        <v>3</v>
      </c>
      <c r="G160" s="4">
        <v>3</v>
      </c>
      <c r="H160" s="4">
        <v>1</v>
      </c>
      <c r="I160" s="4" t="s">
        <v>469</v>
      </c>
    </row>
    <row r="161" spans="2:9" x14ac:dyDescent="0.3">
      <c r="B161" t="s">
        <v>446</v>
      </c>
      <c r="C161" t="s">
        <v>464</v>
      </c>
      <c r="D161" s="4">
        <v>2</v>
      </c>
      <c r="E161" s="4">
        <v>3</v>
      </c>
      <c r="F161" s="4">
        <v>1</v>
      </c>
      <c r="G161" s="4">
        <v>2</v>
      </c>
      <c r="H161" s="4">
        <v>2</v>
      </c>
      <c r="I161" s="4" t="s">
        <v>467</v>
      </c>
    </row>
    <row r="162" spans="2:9" x14ac:dyDescent="0.3">
      <c r="B162" t="s">
        <v>447</v>
      </c>
      <c r="C162" t="s">
        <v>465</v>
      </c>
      <c r="D162" s="4">
        <v>1</v>
      </c>
      <c r="E162" s="4">
        <v>1</v>
      </c>
      <c r="F162" s="4">
        <v>1</v>
      </c>
      <c r="G162" s="4">
        <v>1</v>
      </c>
      <c r="H162" s="4">
        <v>1</v>
      </c>
      <c r="I162" s="4" t="s">
        <v>467</v>
      </c>
    </row>
  </sheetData>
  <autoFilter ref="A1:I162" xr:uid="{97453DF5-74B4-45DB-A6B3-CDE710D259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06AD-DAA3-4A86-971B-2358EE4BCFB3}">
  <sheetPr>
    <pageSetUpPr fitToPage="1"/>
  </sheetPr>
  <dimension ref="A3:K56"/>
  <sheetViews>
    <sheetView workbookViewId="0">
      <selection activeCell="A57" sqref="A1:K57"/>
    </sheetView>
  </sheetViews>
  <sheetFormatPr baseColWidth="10" defaultRowHeight="14.4" x14ac:dyDescent="0.3"/>
  <cols>
    <col min="1" max="1" width="19.88671875" bestFit="1" customWidth="1"/>
    <col min="2" max="2" width="9.33203125" bestFit="1" customWidth="1"/>
    <col min="3" max="4" width="13.109375" bestFit="1" customWidth="1"/>
    <col min="5" max="6" width="11.88671875" bestFit="1" customWidth="1"/>
    <col min="7" max="7" width="24.6640625" bestFit="1" customWidth="1"/>
    <col min="8" max="8" width="9.33203125" bestFit="1" customWidth="1"/>
    <col min="9" max="10" width="13.109375" bestFit="1" customWidth="1"/>
    <col min="11" max="12" width="11.88671875" bestFit="1" customWidth="1"/>
    <col min="13" max="14" width="24.6640625" bestFit="1" customWidth="1"/>
  </cols>
  <sheetData>
    <row r="3" spans="1:11" x14ac:dyDescent="0.3">
      <c r="A3" s="9" t="s">
        <v>520</v>
      </c>
      <c r="C3" s="9" t="s">
        <v>0</v>
      </c>
      <c r="G3" s="9" t="s">
        <v>525</v>
      </c>
      <c r="I3" s="9" t="s">
        <v>0</v>
      </c>
    </row>
    <row r="4" spans="1:11" x14ac:dyDescent="0.3">
      <c r="A4" s="9" t="s">
        <v>521</v>
      </c>
      <c r="B4" s="9" t="s">
        <v>516</v>
      </c>
      <c r="C4" t="s">
        <v>517</v>
      </c>
      <c r="D4" t="s">
        <v>518</v>
      </c>
      <c r="E4" t="s">
        <v>519</v>
      </c>
      <c r="G4" s="9" t="s">
        <v>526</v>
      </c>
      <c r="H4" s="9" t="s">
        <v>516</v>
      </c>
      <c r="I4" t="s">
        <v>517</v>
      </c>
      <c r="J4" t="s">
        <v>518</v>
      </c>
      <c r="K4" t="s">
        <v>519</v>
      </c>
    </row>
    <row r="5" spans="1:11" x14ac:dyDescent="0.3">
      <c r="A5">
        <v>1</v>
      </c>
      <c r="B5" t="s">
        <v>468</v>
      </c>
      <c r="C5">
        <v>17</v>
      </c>
      <c r="E5">
        <v>17</v>
      </c>
      <c r="G5">
        <v>1</v>
      </c>
      <c r="H5" t="s">
        <v>468</v>
      </c>
      <c r="I5">
        <v>26</v>
      </c>
      <c r="K5">
        <v>26</v>
      </c>
    </row>
    <row r="6" spans="1:11" x14ac:dyDescent="0.3">
      <c r="B6" t="s">
        <v>467</v>
      </c>
      <c r="C6">
        <v>11</v>
      </c>
      <c r="E6">
        <v>11</v>
      </c>
      <c r="H6" t="s">
        <v>467</v>
      </c>
      <c r="I6">
        <v>12</v>
      </c>
      <c r="K6">
        <v>12</v>
      </c>
    </row>
    <row r="7" spans="1:11" x14ac:dyDescent="0.3">
      <c r="B7" t="s">
        <v>471</v>
      </c>
      <c r="D7">
        <v>4</v>
      </c>
      <c r="E7">
        <v>4</v>
      </c>
      <c r="H7" t="s">
        <v>471</v>
      </c>
      <c r="J7">
        <v>4</v>
      </c>
      <c r="K7">
        <v>4</v>
      </c>
    </row>
    <row r="8" spans="1:11" x14ac:dyDescent="0.3">
      <c r="B8" t="s">
        <v>469</v>
      </c>
      <c r="D8">
        <v>20</v>
      </c>
      <c r="E8">
        <v>20</v>
      </c>
      <c r="H8" t="s">
        <v>469</v>
      </c>
      <c r="J8">
        <v>24</v>
      </c>
      <c r="K8">
        <v>24</v>
      </c>
    </row>
    <row r="9" spans="1:11" x14ac:dyDescent="0.3">
      <c r="A9" t="s">
        <v>522</v>
      </c>
      <c r="C9">
        <v>28</v>
      </c>
      <c r="D9">
        <v>24</v>
      </c>
      <c r="E9">
        <v>52</v>
      </c>
      <c r="G9" t="s">
        <v>522</v>
      </c>
      <c r="I9">
        <v>38</v>
      </c>
      <c r="J9">
        <v>28</v>
      </c>
      <c r="K9">
        <v>66</v>
      </c>
    </row>
    <row r="10" spans="1:11" x14ac:dyDescent="0.3">
      <c r="A10">
        <v>2</v>
      </c>
      <c r="B10" t="s">
        <v>468</v>
      </c>
      <c r="C10">
        <v>36</v>
      </c>
      <c r="E10">
        <v>36</v>
      </c>
      <c r="G10">
        <v>2</v>
      </c>
      <c r="H10" t="s">
        <v>468</v>
      </c>
      <c r="I10">
        <v>7</v>
      </c>
      <c r="K10">
        <v>7</v>
      </c>
    </row>
    <row r="11" spans="1:11" x14ac:dyDescent="0.3">
      <c r="B11" t="s">
        <v>467</v>
      </c>
      <c r="C11">
        <v>6</v>
      </c>
      <c r="E11">
        <v>6</v>
      </c>
      <c r="H11" t="s">
        <v>467</v>
      </c>
      <c r="I11">
        <v>2</v>
      </c>
      <c r="K11">
        <v>2</v>
      </c>
    </row>
    <row r="12" spans="1:11" x14ac:dyDescent="0.3">
      <c r="B12" t="s">
        <v>471</v>
      </c>
      <c r="D12">
        <v>2</v>
      </c>
      <c r="E12">
        <v>2</v>
      </c>
      <c r="H12" t="s">
        <v>469</v>
      </c>
      <c r="J12">
        <v>3</v>
      </c>
      <c r="K12">
        <v>3</v>
      </c>
    </row>
    <row r="13" spans="1:11" x14ac:dyDescent="0.3">
      <c r="B13" t="s">
        <v>469</v>
      </c>
      <c r="D13">
        <v>24</v>
      </c>
      <c r="E13">
        <v>24</v>
      </c>
      <c r="G13" t="s">
        <v>523</v>
      </c>
      <c r="I13">
        <v>9</v>
      </c>
      <c r="J13">
        <v>3</v>
      </c>
      <c r="K13">
        <v>12</v>
      </c>
    </row>
    <row r="14" spans="1:11" x14ac:dyDescent="0.3">
      <c r="A14" t="s">
        <v>523</v>
      </c>
      <c r="C14">
        <v>42</v>
      </c>
      <c r="D14">
        <v>26</v>
      </c>
      <c r="E14">
        <v>68</v>
      </c>
      <c r="G14">
        <v>3</v>
      </c>
      <c r="H14" t="s">
        <v>468</v>
      </c>
      <c r="I14">
        <v>30</v>
      </c>
      <c r="K14">
        <v>30</v>
      </c>
    </row>
    <row r="15" spans="1:11" x14ac:dyDescent="0.3">
      <c r="A15">
        <v>3</v>
      </c>
      <c r="B15" t="s">
        <v>468</v>
      </c>
      <c r="C15">
        <v>10</v>
      </c>
      <c r="E15">
        <v>10</v>
      </c>
      <c r="H15" t="s">
        <v>467</v>
      </c>
      <c r="I15">
        <v>14</v>
      </c>
      <c r="K15">
        <v>14</v>
      </c>
    </row>
    <row r="16" spans="1:11" x14ac:dyDescent="0.3">
      <c r="B16" t="s">
        <v>467</v>
      </c>
      <c r="C16">
        <v>10</v>
      </c>
      <c r="E16">
        <v>10</v>
      </c>
      <c r="H16" t="s">
        <v>471</v>
      </c>
      <c r="J16">
        <v>3</v>
      </c>
      <c r="K16">
        <v>3</v>
      </c>
    </row>
    <row r="17" spans="1:11" x14ac:dyDescent="0.3">
      <c r="B17" t="s">
        <v>471</v>
      </c>
      <c r="D17">
        <v>1</v>
      </c>
      <c r="E17">
        <v>1</v>
      </c>
      <c r="H17" t="s">
        <v>469</v>
      </c>
      <c r="J17">
        <v>30</v>
      </c>
      <c r="K17">
        <v>30</v>
      </c>
    </row>
    <row r="18" spans="1:11" x14ac:dyDescent="0.3">
      <c r="B18" t="s">
        <v>469</v>
      </c>
      <c r="D18">
        <v>12</v>
      </c>
      <c r="E18">
        <v>12</v>
      </c>
      <c r="G18" t="s">
        <v>524</v>
      </c>
      <c r="I18">
        <v>44</v>
      </c>
      <c r="J18">
        <v>33</v>
      </c>
      <c r="K18">
        <v>77</v>
      </c>
    </row>
    <row r="19" spans="1:11" x14ac:dyDescent="0.3">
      <c r="A19" t="s">
        <v>524</v>
      </c>
      <c r="C19">
        <v>20</v>
      </c>
      <c r="D19">
        <v>13</v>
      </c>
      <c r="E19">
        <v>33</v>
      </c>
      <c r="G19" t="s">
        <v>519</v>
      </c>
      <c r="I19">
        <v>91</v>
      </c>
      <c r="J19">
        <v>64</v>
      </c>
      <c r="K19">
        <v>155</v>
      </c>
    </row>
    <row r="20" spans="1:11" x14ac:dyDescent="0.3">
      <c r="A20" t="s">
        <v>519</v>
      </c>
      <c r="C20">
        <v>90</v>
      </c>
      <c r="D20">
        <v>63</v>
      </c>
      <c r="E20">
        <v>153</v>
      </c>
    </row>
    <row r="23" spans="1:11" x14ac:dyDescent="0.3">
      <c r="A23" s="9" t="s">
        <v>527</v>
      </c>
      <c r="C23" s="9" t="s">
        <v>0</v>
      </c>
    </row>
    <row r="24" spans="1:11" x14ac:dyDescent="0.3">
      <c r="A24" s="9" t="s">
        <v>528</v>
      </c>
      <c r="B24" s="9" t="s">
        <v>516</v>
      </c>
      <c r="C24" t="s">
        <v>517</v>
      </c>
      <c r="D24" t="s">
        <v>518</v>
      </c>
      <c r="E24" t="s">
        <v>519</v>
      </c>
      <c r="G24" s="9" t="s">
        <v>529</v>
      </c>
      <c r="I24" s="9" t="s">
        <v>0</v>
      </c>
    </row>
    <row r="25" spans="1:11" x14ac:dyDescent="0.3">
      <c r="A25">
        <v>1</v>
      </c>
      <c r="B25" t="s">
        <v>468</v>
      </c>
      <c r="C25">
        <v>40</v>
      </c>
      <c r="E25">
        <v>40</v>
      </c>
      <c r="G25" s="9" t="s">
        <v>530</v>
      </c>
      <c r="H25" s="9" t="s">
        <v>516</v>
      </c>
      <c r="I25" t="s">
        <v>517</v>
      </c>
      <c r="J25" t="s">
        <v>518</v>
      </c>
      <c r="K25" t="s">
        <v>519</v>
      </c>
    </row>
    <row r="26" spans="1:11" x14ac:dyDescent="0.3">
      <c r="B26" t="s">
        <v>467</v>
      </c>
      <c r="C26">
        <v>19</v>
      </c>
      <c r="E26">
        <v>19</v>
      </c>
      <c r="G26">
        <v>1</v>
      </c>
      <c r="H26" t="s">
        <v>468</v>
      </c>
      <c r="I26">
        <v>28</v>
      </c>
      <c r="K26">
        <v>28</v>
      </c>
    </row>
    <row r="27" spans="1:11" x14ac:dyDescent="0.3">
      <c r="B27" t="s">
        <v>471</v>
      </c>
      <c r="D27">
        <v>5</v>
      </c>
      <c r="E27">
        <v>5</v>
      </c>
      <c r="H27" t="s">
        <v>467</v>
      </c>
      <c r="I27">
        <v>10</v>
      </c>
      <c r="K27">
        <v>10</v>
      </c>
    </row>
    <row r="28" spans="1:11" x14ac:dyDescent="0.3">
      <c r="B28" t="s">
        <v>469</v>
      </c>
      <c r="D28">
        <v>43</v>
      </c>
      <c r="E28">
        <v>43</v>
      </c>
      <c r="H28" t="s">
        <v>471</v>
      </c>
      <c r="J28">
        <v>3</v>
      </c>
      <c r="K28">
        <v>3</v>
      </c>
    </row>
    <row r="29" spans="1:11" x14ac:dyDescent="0.3">
      <c r="A29" t="s">
        <v>522</v>
      </c>
      <c r="C29">
        <v>59</v>
      </c>
      <c r="D29">
        <v>48</v>
      </c>
      <c r="E29">
        <v>107</v>
      </c>
      <c r="H29" t="s">
        <v>469</v>
      </c>
      <c r="J29">
        <v>27</v>
      </c>
      <c r="K29">
        <v>27</v>
      </c>
    </row>
    <row r="30" spans="1:11" x14ac:dyDescent="0.3">
      <c r="A30">
        <v>2</v>
      </c>
      <c r="B30" t="s">
        <v>468</v>
      </c>
      <c r="C30">
        <v>5</v>
      </c>
      <c r="E30">
        <v>5</v>
      </c>
      <c r="G30" t="s">
        <v>522</v>
      </c>
      <c r="I30">
        <v>38</v>
      </c>
      <c r="J30">
        <v>30</v>
      </c>
      <c r="K30">
        <v>68</v>
      </c>
    </row>
    <row r="31" spans="1:11" x14ac:dyDescent="0.3">
      <c r="B31" t="s">
        <v>467</v>
      </c>
      <c r="C31">
        <v>1</v>
      </c>
      <c r="E31">
        <v>1</v>
      </c>
      <c r="G31">
        <v>2</v>
      </c>
      <c r="H31" t="s">
        <v>468</v>
      </c>
      <c r="I31">
        <v>9</v>
      </c>
      <c r="K31">
        <v>9</v>
      </c>
    </row>
    <row r="32" spans="1:11" x14ac:dyDescent="0.3">
      <c r="B32" t="s">
        <v>469</v>
      </c>
      <c r="D32">
        <v>3</v>
      </c>
      <c r="E32">
        <v>3</v>
      </c>
      <c r="H32" t="s">
        <v>467</v>
      </c>
      <c r="I32">
        <v>7</v>
      </c>
      <c r="K32">
        <v>7</v>
      </c>
    </row>
    <row r="33" spans="1:11" x14ac:dyDescent="0.3">
      <c r="A33" t="s">
        <v>523</v>
      </c>
      <c r="C33">
        <v>6</v>
      </c>
      <c r="D33">
        <v>3</v>
      </c>
      <c r="E33">
        <v>9</v>
      </c>
      <c r="H33" t="s">
        <v>471</v>
      </c>
      <c r="J33">
        <v>1</v>
      </c>
      <c r="K33">
        <v>1</v>
      </c>
    </row>
    <row r="34" spans="1:11" x14ac:dyDescent="0.3">
      <c r="A34">
        <v>3</v>
      </c>
      <c r="B34" t="s">
        <v>468</v>
      </c>
      <c r="C34">
        <v>18</v>
      </c>
      <c r="E34">
        <v>18</v>
      </c>
      <c r="H34" t="s">
        <v>469</v>
      </c>
      <c r="J34">
        <v>8</v>
      </c>
      <c r="K34">
        <v>8</v>
      </c>
    </row>
    <row r="35" spans="1:11" x14ac:dyDescent="0.3">
      <c r="B35" t="s">
        <v>467</v>
      </c>
      <c r="C35">
        <v>5</v>
      </c>
      <c r="E35">
        <v>5</v>
      </c>
      <c r="G35" t="s">
        <v>523</v>
      </c>
      <c r="I35">
        <v>16</v>
      </c>
      <c r="J35">
        <v>9</v>
      </c>
      <c r="K35">
        <v>25</v>
      </c>
    </row>
    <row r="36" spans="1:11" x14ac:dyDescent="0.3">
      <c r="B36" t="s">
        <v>471</v>
      </c>
      <c r="D36">
        <v>2</v>
      </c>
      <c r="E36">
        <v>2</v>
      </c>
      <c r="G36">
        <v>3</v>
      </c>
      <c r="H36" t="s">
        <v>468</v>
      </c>
      <c r="I36">
        <v>26</v>
      </c>
      <c r="K36">
        <v>26</v>
      </c>
    </row>
    <row r="37" spans="1:11" x14ac:dyDescent="0.3">
      <c r="B37" t="s">
        <v>469</v>
      </c>
      <c r="D37">
        <v>11</v>
      </c>
      <c r="E37">
        <v>11</v>
      </c>
      <c r="H37" t="s">
        <v>467</v>
      </c>
      <c r="I37">
        <v>10</v>
      </c>
      <c r="K37">
        <v>10</v>
      </c>
    </row>
    <row r="38" spans="1:11" x14ac:dyDescent="0.3">
      <c r="A38" t="s">
        <v>524</v>
      </c>
      <c r="C38">
        <v>23</v>
      </c>
      <c r="D38">
        <v>13</v>
      </c>
      <c r="E38">
        <v>36</v>
      </c>
      <c r="H38" t="s">
        <v>471</v>
      </c>
      <c r="J38">
        <v>3</v>
      </c>
      <c r="K38">
        <v>3</v>
      </c>
    </row>
    <row r="39" spans="1:11" x14ac:dyDescent="0.3">
      <c r="A39" t="s">
        <v>519</v>
      </c>
      <c r="C39">
        <v>88</v>
      </c>
      <c r="D39">
        <v>64</v>
      </c>
      <c r="E39">
        <v>152</v>
      </c>
      <c r="H39" t="s">
        <v>469</v>
      </c>
      <c r="J39">
        <v>22</v>
      </c>
      <c r="K39">
        <v>22</v>
      </c>
    </row>
    <row r="40" spans="1:11" x14ac:dyDescent="0.3">
      <c r="G40" t="s">
        <v>524</v>
      </c>
      <c r="I40">
        <v>36</v>
      </c>
      <c r="J40">
        <v>25</v>
      </c>
      <c r="K40">
        <v>61</v>
      </c>
    </row>
    <row r="41" spans="1:11" x14ac:dyDescent="0.3">
      <c r="G41" t="s">
        <v>519</v>
      </c>
      <c r="I41">
        <v>90</v>
      </c>
      <c r="J41">
        <v>64</v>
      </c>
      <c r="K41">
        <v>154</v>
      </c>
    </row>
    <row r="44" spans="1:11" x14ac:dyDescent="0.3">
      <c r="A44" s="9" t="s">
        <v>531</v>
      </c>
      <c r="C44" s="9" t="s">
        <v>0</v>
      </c>
    </row>
    <row r="45" spans="1:11" x14ac:dyDescent="0.3">
      <c r="A45" s="9" t="s">
        <v>532</v>
      </c>
      <c r="B45" s="9" t="s">
        <v>516</v>
      </c>
      <c r="C45" t="s">
        <v>517</v>
      </c>
      <c r="D45" t="s">
        <v>518</v>
      </c>
      <c r="E45" t="s">
        <v>519</v>
      </c>
    </row>
    <row r="46" spans="1:11" x14ac:dyDescent="0.3">
      <c r="A46">
        <v>1</v>
      </c>
      <c r="B46" t="s">
        <v>468</v>
      </c>
      <c r="C46">
        <v>39</v>
      </c>
      <c r="E46">
        <v>39</v>
      </c>
    </row>
    <row r="47" spans="1:11" x14ac:dyDescent="0.3">
      <c r="B47" t="s">
        <v>467</v>
      </c>
      <c r="C47">
        <v>14</v>
      </c>
      <c r="E47">
        <v>14</v>
      </c>
    </row>
    <row r="48" spans="1:11" x14ac:dyDescent="0.3">
      <c r="B48" t="s">
        <v>471</v>
      </c>
      <c r="D48">
        <v>4</v>
      </c>
      <c r="E48">
        <v>4</v>
      </c>
    </row>
    <row r="49" spans="1:5" x14ac:dyDescent="0.3">
      <c r="B49" t="s">
        <v>469</v>
      </c>
      <c r="D49">
        <v>39</v>
      </c>
      <c r="E49">
        <v>39</v>
      </c>
    </row>
    <row r="50" spans="1:5" x14ac:dyDescent="0.3">
      <c r="A50" t="s">
        <v>522</v>
      </c>
      <c r="C50">
        <v>53</v>
      </c>
      <c r="D50">
        <v>43</v>
      </c>
      <c r="E50">
        <v>96</v>
      </c>
    </row>
    <row r="51" spans="1:5" x14ac:dyDescent="0.3">
      <c r="A51">
        <v>2</v>
      </c>
      <c r="B51" t="s">
        <v>468</v>
      </c>
      <c r="C51">
        <v>24</v>
      </c>
      <c r="E51">
        <v>24</v>
      </c>
    </row>
    <row r="52" spans="1:5" x14ac:dyDescent="0.3">
      <c r="B52" t="s">
        <v>467</v>
      </c>
      <c r="C52">
        <v>14</v>
      </c>
      <c r="E52">
        <v>14</v>
      </c>
    </row>
    <row r="53" spans="1:5" x14ac:dyDescent="0.3">
      <c r="B53" t="s">
        <v>471</v>
      </c>
      <c r="D53">
        <v>3</v>
      </c>
      <c r="E53">
        <v>3</v>
      </c>
    </row>
    <row r="54" spans="1:5" x14ac:dyDescent="0.3">
      <c r="B54" t="s">
        <v>469</v>
      </c>
      <c r="D54">
        <v>18</v>
      </c>
      <c r="E54">
        <v>18</v>
      </c>
    </row>
    <row r="55" spans="1:5" x14ac:dyDescent="0.3">
      <c r="A55" t="s">
        <v>523</v>
      </c>
      <c r="C55">
        <v>38</v>
      </c>
      <c r="D55">
        <v>21</v>
      </c>
      <c r="E55">
        <v>59</v>
      </c>
    </row>
    <row r="56" spans="1:5" x14ac:dyDescent="0.3">
      <c r="A56" t="s">
        <v>519</v>
      </c>
      <c r="C56">
        <v>91</v>
      </c>
      <c r="D56">
        <v>64</v>
      </c>
      <c r="E56">
        <v>155</v>
      </c>
    </row>
  </sheetData>
  <pageMargins left="0.70866141732283472" right="0.70866141732283472" top="0.74803149606299213" bottom="0.74803149606299213" header="0.31496062992125984" footer="0.31496062992125984"/>
  <pageSetup scale="59" orientation="portrait" verticalDpi="0" r:id="rId6"/>
  <headerFooter>
    <oddFooter>&amp;C&amp;A // 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1C4E-7291-4C62-B16D-01F0C697DDC6}">
  <sheetPr>
    <pageSetUpPr fitToPage="1"/>
  </sheetPr>
  <dimension ref="A1:I162"/>
  <sheetViews>
    <sheetView tabSelected="1" workbookViewId="0">
      <selection activeCell="B1" sqref="B1:C1048576"/>
    </sheetView>
  </sheetViews>
  <sheetFormatPr baseColWidth="10" defaultRowHeight="14.4" x14ac:dyDescent="0.3"/>
  <cols>
    <col min="1" max="1" width="13" bestFit="1" customWidth="1"/>
    <col min="2" max="2" width="10.6640625" bestFit="1" customWidth="1"/>
    <col min="3" max="3" width="42.88671875" bestFit="1" customWidth="1"/>
    <col min="4" max="4" width="11.44140625" customWidth="1"/>
    <col min="5" max="5" width="13.109375" customWidth="1"/>
    <col min="6" max="7" width="13.21875" customWidth="1"/>
    <col min="8" max="8" width="11.44140625" customWidth="1"/>
    <col min="9" max="9" width="9.33203125" bestFit="1" customWidth="1"/>
  </cols>
  <sheetData>
    <row r="1" spans="1:9" x14ac:dyDescent="0.3">
      <c r="A1" t="s">
        <v>0</v>
      </c>
      <c r="B1" t="s">
        <v>472</v>
      </c>
      <c r="C1" t="s">
        <v>6</v>
      </c>
      <c r="D1" s="6">
        <v>46076</v>
      </c>
      <c r="E1" s="6">
        <v>46077</v>
      </c>
      <c r="F1" s="6">
        <v>46078</v>
      </c>
      <c r="G1" s="6">
        <v>46079</v>
      </c>
      <c r="H1" s="6">
        <v>46080</v>
      </c>
      <c r="I1" t="s">
        <v>516</v>
      </c>
    </row>
    <row r="2" spans="1:9" x14ac:dyDescent="0.3">
      <c r="A2" t="s">
        <v>517</v>
      </c>
      <c r="B2" t="s">
        <v>46</v>
      </c>
      <c r="C2" t="s">
        <v>309</v>
      </c>
      <c r="D2">
        <v>2</v>
      </c>
      <c r="E2">
        <v>3</v>
      </c>
      <c r="F2">
        <v>1</v>
      </c>
      <c r="G2">
        <v>1</v>
      </c>
      <c r="H2">
        <v>1</v>
      </c>
      <c r="I2" t="s">
        <v>468</v>
      </c>
    </row>
    <row r="3" spans="1:9" x14ac:dyDescent="0.3">
      <c r="A3" t="s">
        <v>517</v>
      </c>
      <c r="B3" t="s">
        <v>88</v>
      </c>
      <c r="C3" t="s">
        <v>329</v>
      </c>
      <c r="D3">
        <v>2</v>
      </c>
      <c r="E3">
        <v>3</v>
      </c>
      <c r="F3">
        <v>3</v>
      </c>
      <c r="G3">
        <v>3</v>
      </c>
      <c r="H3">
        <v>2</v>
      </c>
      <c r="I3" t="s">
        <v>468</v>
      </c>
    </row>
    <row r="4" spans="1:9" x14ac:dyDescent="0.3">
      <c r="A4" t="s">
        <v>517</v>
      </c>
      <c r="B4" t="s">
        <v>416</v>
      </c>
      <c r="C4" t="s">
        <v>474</v>
      </c>
      <c r="D4">
        <v>1</v>
      </c>
      <c r="E4">
        <v>1</v>
      </c>
      <c r="F4">
        <v>1</v>
      </c>
      <c r="G4">
        <v>1</v>
      </c>
      <c r="H4">
        <v>1</v>
      </c>
      <c r="I4" t="s">
        <v>468</v>
      </c>
    </row>
    <row r="5" spans="1:9" x14ac:dyDescent="0.3">
      <c r="A5" t="s">
        <v>517</v>
      </c>
      <c r="B5" t="s">
        <v>128</v>
      </c>
      <c r="C5" t="s">
        <v>348</v>
      </c>
      <c r="D5">
        <v>2</v>
      </c>
      <c r="E5">
        <v>1</v>
      </c>
      <c r="F5">
        <v>1</v>
      </c>
      <c r="G5">
        <v>1</v>
      </c>
      <c r="H5">
        <v>1</v>
      </c>
      <c r="I5" t="s">
        <v>468</v>
      </c>
    </row>
    <row r="6" spans="1:9" x14ac:dyDescent="0.3">
      <c r="A6" t="s">
        <v>517</v>
      </c>
      <c r="B6" t="s">
        <v>289</v>
      </c>
      <c r="C6" t="s">
        <v>342</v>
      </c>
      <c r="D6">
        <v>2</v>
      </c>
      <c r="E6">
        <v>3</v>
      </c>
      <c r="F6">
        <v>3</v>
      </c>
      <c r="G6">
        <v>3</v>
      </c>
      <c r="H6">
        <v>1</v>
      </c>
      <c r="I6" t="s">
        <v>468</v>
      </c>
    </row>
    <row r="7" spans="1:9" x14ac:dyDescent="0.3">
      <c r="A7" t="s">
        <v>517</v>
      </c>
      <c r="B7" t="s">
        <v>168</v>
      </c>
      <c r="C7" t="s">
        <v>367</v>
      </c>
      <c r="D7">
        <v>2</v>
      </c>
      <c r="E7">
        <v>3</v>
      </c>
      <c r="F7">
        <v>1</v>
      </c>
      <c r="G7">
        <v>1</v>
      </c>
      <c r="H7">
        <v>2</v>
      </c>
      <c r="I7" t="s">
        <v>468</v>
      </c>
    </row>
    <row r="8" spans="1:9" x14ac:dyDescent="0.3">
      <c r="A8" t="s">
        <v>517</v>
      </c>
      <c r="B8" t="s">
        <v>92</v>
      </c>
      <c r="C8" t="s">
        <v>330</v>
      </c>
      <c r="D8">
        <v>2</v>
      </c>
      <c r="E8">
        <v>3</v>
      </c>
      <c r="F8">
        <v>1</v>
      </c>
      <c r="G8">
        <v>1</v>
      </c>
      <c r="H8">
        <v>1</v>
      </c>
      <c r="I8" t="s">
        <v>468</v>
      </c>
    </row>
    <row r="9" spans="1:9" x14ac:dyDescent="0.3">
      <c r="A9" t="s">
        <v>517</v>
      </c>
      <c r="B9" t="s">
        <v>160</v>
      </c>
      <c r="C9" t="s">
        <v>363</v>
      </c>
      <c r="D9">
        <v>2</v>
      </c>
      <c r="E9">
        <v>3</v>
      </c>
      <c r="F9">
        <v>1</v>
      </c>
      <c r="G9">
        <v>3</v>
      </c>
      <c r="H9">
        <v>2</v>
      </c>
      <c r="I9" t="s">
        <v>468</v>
      </c>
    </row>
    <row r="10" spans="1:9" x14ac:dyDescent="0.3">
      <c r="A10" t="s">
        <v>517</v>
      </c>
      <c r="B10" t="s">
        <v>160</v>
      </c>
      <c r="C10" t="s">
        <v>363</v>
      </c>
      <c r="D10">
        <v>2</v>
      </c>
      <c r="E10">
        <v>3</v>
      </c>
      <c r="F10">
        <v>1</v>
      </c>
      <c r="G10">
        <v>3</v>
      </c>
      <c r="H10">
        <v>2</v>
      </c>
      <c r="I10" t="s">
        <v>468</v>
      </c>
    </row>
    <row r="11" spans="1:9" x14ac:dyDescent="0.3">
      <c r="A11" t="s">
        <v>517</v>
      </c>
      <c r="B11" t="s">
        <v>228</v>
      </c>
      <c r="C11" t="s">
        <v>397</v>
      </c>
      <c r="D11">
        <v>2</v>
      </c>
      <c r="E11">
        <v>3</v>
      </c>
      <c r="F11">
        <v>1</v>
      </c>
      <c r="G11">
        <v>2</v>
      </c>
      <c r="H11">
        <v>1</v>
      </c>
      <c r="I11" t="s">
        <v>468</v>
      </c>
    </row>
    <row r="12" spans="1:9" x14ac:dyDescent="0.3">
      <c r="A12" t="s">
        <v>517</v>
      </c>
      <c r="B12" t="s">
        <v>178</v>
      </c>
      <c r="C12" t="s">
        <v>372</v>
      </c>
      <c r="D12">
        <v>2</v>
      </c>
      <c r="E12">
        <v>1</v>
      </c>
      <c r="F12">
        <v>2</v>
      </c>
      <c r="G12">
        <v>1</v>
      </c>
      <c r="H12">
        <v>1</v>
      </c>
      <c r="I12" t="s">
        <v>468</v>
      </c>
    </row>
    <row r="13" spans="1:9" x14ac:dyDescent="0.3">
      <c r="A13" t="s">
        <v>517</v>
      </c>
      <c r="B13" t="s">
        <v>419</v>
      </c>
      <c r="C13" t="s">
        <v>477</v>
      </c>
      <c r="D13">
        <v>1</v>
      </c>
      <c r="E13">
        <v>1</v>
      </c>
      <c r="F13">
        <v>1</v>
      </c>
      <c r="G13">
        <v>1</v>
      </c>
      <c r="H13">
        <v>1</v>
      </c>
      <c r="I13" t="s">
        <v>468</v>
      </c>
    </row>
    <row r="14" spans="1:9" x14ac:dyDescent="0.3">
      <c r="A14" t="s">
        <v>517</v>
      </c>
      <c r="B14" t="s">
        <v>432</v>
      </c>
      <c r="C14" t="s">
        <v>448</v>
      </c>
      <c r="D14">
        <v>1</v>
      </c>
      <c r="E14">
        <v>1</v>
      </c>
      <c r="F14">
        <v>1</v>
      </c>
      <c r="G14">
        <v>1</v>
      </c>
      <c r="H14">
        <v>1</v>
      </c>
      <c r="I14" t="s">
        <v>468</v>
      </c>
    </row>
    <row r="15" spans="1:9" x14ac:dyDescent="0.3">
      <c r="A15" t="s">
        <v>517</v>
      </c>
      <c r="B15" t="s">
        <v>156</v>
      </c>
      <c r="C15" t="s">
        <v>361</v>
      </c>
      <c r="D15">
        <v>2</v>
      </c>
      <c r="E15">
        <v>3</v>
      </c>
      <c r="F15">
        <v>1</v>
      </c>
      <c r="G15">
        <v>2</v>
      </c>
      <c r="H15">
        <v>2</v>
      </c>
      <c r="I15" t="s">
        <v>468</v>
      </c>
    </row>
    <row r="16" spans="1:9" x14ac:dyDescent="0.3">
      <c r="A16" t="s">
        <v>517</v>
      </c>
      <c r="B16" t="s">
        <v>154</v>
      </c>
      <c r="C16" t="s">
        <v>360</v>
      </c>
      <c r="D16">
        <v>2</v>
      </c>
      <c r="E16">
        <v>2</v>
      </c>
      <c r="F16">
        <v>2</v>
      </c>
      <c r="G16">
        <v>2</v>
      </c>
      <c r="H16">
        <v>1</v>
      </c>
      <c r="I16" t="s">
        <v>468</v>
      </c>
    </row>
    <row r="17" spans="1:9" x14ac:dyDescent="0.3">
      <c r="A17" t="s">
        <v>517</v>
      </c>
      <c r="B17" t="s">
        <v>280</v>
      </c>
      <c r="C17" t="s">
        <v>314</v>
      </c>
      <c r="D17">
        <v>2</v>
      </c>
      <c r="E17">
        <v>1</v>
      </c>
      <c r="F17">
        <v>1</v>
      </c>
      <c r="G17">
        <v>3</v>
      </c>
      <c r="H17">
        <v>1</v>
      </c>
      <c r="I17" t="s">
        <v>468</v>
      </c>
    </row>
    <row r="18" spans="1:9" x14ac:dyDescent="0.3">
      <c r="A18" t="s">
        <v>517</v>
      </c>
      <c r="B18" t="s">
        <v>280</v>
      </c>
      <c r="C18" t="s">
        <v>314</v>
      </c>
      <c r="D18">
        <v>2</v>
      </c>
      <c r="E18">
        <v>1</v>
      </c>
      <c r="F18">
        <v>1</v>
      </c>
      <c r="G18">
        <v>3</v>
      </c>
      <c r="H18">
        <v>1</v>
      </c>
      <c r="I18" t="s">
        <v>468</v>
      </c>
    </row>
    <row r="19" spans="1:9" x14ac:dyDescent="0.3">
      <c r="A19" t="s">
        <v>517</v>
      </c>
      <c r="B19" t="s">
        <v>260</v>
      </c>
      <c r="C19" t="s">
        <v>350</v>
      </c>
      <c r="D19">
        <v>2</v>
      </c>
      <c r="E19">
        <v>1</v>
      </c>
      <c r="F19">
        <v>1</v>
      </c>
      <c r="G19">
        <v>3</v>
      </c>
      <c r="H19">
        <v>2</v>
      </c>
      <c r="I19" t="s">
        <v>468</v>
      </c>
    </row>
    <row r="20" spans="1:9" x14ac:dyDescent="0.3">
      <c r="A20" t="s">
        <v>517</v>
      </c>
      <c r="B20" t="s">
        <v>286</v>
      </c>
      <c r="C20" t="s">
        <v>358</v>
      </c>
      <c r="D20" t="s">
        <v>16</v>
      </c>
      <c r="E20" t="s">
        <v>18</v>
      </c>
      <c r="F20" t="s">
        <v>18</v>
      </c>
      <c r="G20" t="s">
        <v>16</v>
      </c>
      <c r="H20" t="s">
        <v>16</v>
      </c>
      <c r="I20" t="s">
        <v>468</v>
      </c>
    </row>
    <row r="21" spans="1:9" x14ac:dyDescent="0.3">
      <c r="A21" t="s">
        <v>517</v>
      </c>
      <c r="B21" t="s">
        <v>136</v>
      </c>
      <c r="C21" t="s">
        <v>352</v>
      </c>
      <c r="D21">
        <v>3</v>
      </c>
      <c r="E21">
        <v>1</v>
      </c>
      <c r="F21">
        <v>3</v>
      </c>
      <c r="G21">
        <v>3</v>
      </c>
      <c r="H21">
        <v>1</v>
      </c>
      <c r="I21" t="s">
        <v>468</v>
      </c>
    </row>
    <row r="22" spans="1:9" x14ac:dyDescent="0.3">
      <c r="A22" t="s">
        <v>517</v>
      </c>
      <c r="B22" t="s">
        <v>273</v>
      </c>
      <c r="C22" t="s">
        <v>390</v>
      </c>
      <c r="D22">
        <v>1</v>
      </c>
      <c r="E22">
        <v>3</v>
      </c>
      <c r="F22">
        <v>1</v>
      </c>
      <c r="G22">
        <v>1</v>
      </c>
      <c r="H22">
        <v>1</v>
      </c>
      <c r="I22" t="s">
        <v>468</v>
      </c>
    </row>
    <row r="23" spans="1:9" x14ac:dyDescent="0.3">
      <c r="A23" t="s">
        <v>517</v>
      </c>
      <c r="B23" t="s">
        <v>62</v>
      </c>
      <c r="C23" t="s">
        <v>316</v>
      </c>
      <c r="D23">
        <v>2</v>
      </c>
      <c r="E23">
        <v>3</v>
      </c>
      <c r="F23">
        <v>1</v>
      </c>
      <c r="G23">
        <v>1</v>
      </c>
      <c r="H23">
        <v>2</v>
      </c>
      <c r="I23" t="s">
        <v>468</v>
      </c>
    </row>
    <row r="24" spans="1:9" x14ac:dyDescent="0.3">
      <c r="A24" t="s">
        <v>517</v>
      </c>
      <c r="B24" t="s">
        <v>184</v>
      </c>
      <c r="C24" t="s">
        <v>375</v>
      </c>
      <c r="D24">
        <v>2</v>
      </c>
      <c r="E24">
        <v>3</v>
      </c>
      <c r="F24">
        <v>3</v>
      </c>
      <c r="G24">
        <v>1</v>
      </c>
      <c r="H24">
        <v>2</v>
      </c>
      <c r="I24" t="s">
        <v>468</v>
      </c>
    </row>
    <row r="25" spans="1:9" x14ac:dyDescent="0.3">
      <c r="A25" t="s">
        <v>517</v>
      </c>
      <c r="B25" t="s">
        <v>184</v>
      </c>
      <c r="C25" t="s">
        <v>375</v>
      </c>
      <c r="D25">
        <v>2</v>
      </c>
      <c r="E25">
        <v>3</v>
      </c>
      <c r="F25">
        <v>3</v>
      </c>
      <c r="G25">
        <v>1</v>
      </c>
      <c r="H25">
        <v>2</v>
      </c>
      <c r="I25" t="s">
        <v>468</v>
      </c>
    </row>
    <row r="26" spans="1:9" x14ac:dyDescent="0.3">
      <c r="A26" t="s">
        <v>517</v>
      </c>
      <c r="B26" t="s">
        <v>420</v>
      </c>
      <c r="C26" t="s">
        <v>480</v>
      </c>
      <c r="D26">
        <v>1</v>
      </c>
      <c r="E26">
        <v>1</v>
      </c>
      <c r="F26">
        <v>1</v>
      </c>
      <c r="G26">
        <v>1</v>
      </c>
      <c r="H26">
        <v>1</v>
      </c>
      <c r="I26" t="s">
        <v>468</v>
      </c>
    </row>
    <row r="27" spans="1:9" x14ac:dyDescent="0.3">
      <c r="A27" t="s">
        <v>517</v>
      </c>
      <c r="B27" t="s">
        <v>274</v>
      </c>
      <c r="C27" t="s">
        <v>391</v>
      </c>
      <c r="D27">
        <v>2</v>
      </c>
      <c r="E27">
        <v>1</v>
      </c>
      <c r="F27">
        <v>3</v>
      </c>
      <c r="G27">
        <v>2</v>
      </c>
      <c r="H27">
        <v>2</v>
      </c>
      <c r="I27" t="s">
        <v>468</v>
      </c>
    </row>
    <row r="28" spans="1:9" x14ac:dyDescent="0.3">
      <c r="A28" t="s">
        <v>517</v>
      </c>
      <c r="B28" t="s">
        <v>291</v>
      </c>
      <c r="C28" t="s">
        <v>339</v>
      </c>
      <c r="D28">
        <v>2</v>
      </c>
      <c r="E28">
        <v>3</v>
      </c>
      <c r="F28">
        <v>1</v>
      </c>
      <c r="G28">
        <v>3</v>
      </c>
      <c r="H28">
        <v>2</v>
      </c>
      <c r="I28" t="s">
        <v>468</v>
      </c>
    </row>
    <row r="29" spans="1:9" x14ac:dyDescent="0.3">
      <c r="A29" t="s">
        <v>517</v>
      </c>
      <c r="B29" t="s">
        <v>255</v>
      </c>
      <c r="C29" t="s">
        <v>343</v>
      </c>
      <c r="D29">
        <v>2</v>
      </c>
      <c r="E29">
        <v>2</v>
      </c>
      <c r="F29">
        <v>1</v>
      </c>
      <c r="G29">
        <v>3</v>
      </c>
      <c r="H29">
        <v>1</v>
      </c>
      <c r="I29" t="s">
        <v>468</v>
      </c>
    </row>
    <row r="30" spans="1:9" x14ac:dyDescent="0.3">
      <c r="A30" t="s">
        <v>517</v>
      </c>
      <c r="B30" t="s">
        <v>427</v>
      </c>
      <c r="C30" t="s">
        <v>486</v>
      </c>
      <c r="D30">
        <v>1</v>
      </c>
      <c r="E30">
        <v>1</v>
      </c>
      <c r="F30">
        <v>1</v>
      </c>
      <c r="G30">
        <v>1</v>
      </c>
      <c r="H30">
        <v>1</v>
      </c>
      <c r="I30" t="s">
        <v>468</v>
      </c>
    </row>
    <row r="31" spans="1:9" x14ac:dyDescent="0.3">
      <c r="A31" t="s">
        <v>517</v>
      </c>
      <c r="B31" t="s">
        <v>134</v>
      </c>
      <c r="C31" t="s">
        <v>351</v>
      </c>
      <c r="D31">
        <v>2</v>
      </c>
      <c r="E31">
        <v>3</v>
      </c>
      <c r="F31">
        <v>3</v>
      </c>
      <c r="G31">
        <v>2</v>
      </c>
      <c r="H31">
        <v>1</v>
      </c>
      <c r="I31" t="s">
        <v>468</v>
      </c>
    </row>
    <row r="32" spans="1:9" x14ac:dyDescent="0.3">
      <c r="A32" t="s">
        <v>517</v>
      </c>
      <c r="B32" t="s">
        <v>244</v>
      </c>
      <c r="C32" t="s">
        <v>308</v>
      </c>
      <c r="D32">
        <v>2</v>
      </c>
      <c r="E32">
        <v>2</v>
      </c>
      <c r="F32">
        <v>1</v>
      </c>
      <c r="G32">
        <v>1</v>
      </c>
      <c r="H32">
        <v>1</v>
      </c>
      <c r="I32" t="s">
        <v>468</v>
      </c>
    </row>
    <row r="33" spans="1:9" x14ac:dyDescent="0.3">
      <c r="A33" t="s">
        <v>517</v>
      </c>
      <c r="B33" t="s">
        <v>277</v>
      </c>
      <c r="C33" t="s">
        <v>403</v>
      </c>
      <c r="D33">
        <v>2</v>
      </c>
      <c r="E33">
        <v>1</v>
      </c>
      <c r="F33">
        <v>2</v>
      </c>
      <c r="G33">
        <v>2</v>
      </c>
      <c r="H33">
        <v>2</v>
      </c>
      <c r="I33" t="s">
        <v>468</v>
      </c>
    </row>
    <row r="34" spans="1:9" x14ac:dyDescent="0.3">
      <c r="A34" t="s">
        <v>517</v>
      </c>
      <c r="B34" t="s">
        <v>421</v>
      </c>
      <c r="C34" t="s">
        <v>489</v>
      </c>
      <c r="D34">
        <v>1</v>
      </c>
      <c r="E34">
        <v>1</v>
      </c>
      <c r="F34">
        <v>1</v>
      </c>
      <c r="G34">
        <v>1</v>
      </c>
      <c r="H34">
        <v>1</v>
      </c>
      <c r="I34" t="s">
        <v>468</v>
      </c>
    </row>
    <row r="35" spans="1:9" x14ac:dyDescent="0.3">
      <c r="A35" t="s">
        <v>517</v>
      </c>
      <c r="B35" t="s">
        <v>438</v>
      </c>
      <c r="C35" t="s">
        <v>454</v>
      </c>
      <c r="D35">
        <v>1</v>
      </c>
      <c r="E35">
        <v>1</v>
      </c>
      <c r="F35">
        <v>1</v>
      </c>
      <c r="G35">
        <v>1</v>
      </c>
      <c r="H35">
        <v>1</v>
      </c>
      <c r="I35" t="s">
        <v>468</v>
      </c>
    </row>
    <row r="36" spans="1:9" x14ac:dyDescent="0.3">
      <c r="A36" t="s">
        <v>517</v>
      </c>
      <c r="B36" t="s">
        <v>440</v>
      </c>
      <c r="C36" t="s">
        <v>456</v>
      </c>
      <c r="D36">
        <v>1</v>
      </c>
      <c r="E36">
        <v>1</v>
      </c>
      <c r="F36">
        <v>1</v>
      </c>
      <c r="G36">
        <v>1</v>
      </c>
      <c r="H36">
        <v>1</v>
      </c>
      <c r="I36" t="s">
        <v>468</v>
      </c>
    </row>
    <row r="37" spans="1:9" x14ac:dyDescent="0.3">
      <c r="A37" t="s">
        <v>517</v>
      </c>
      <c r="B37" t="s">
        <v>194</v>
      </c>
      <c r="C37" t="s">
        <v>380</v>
      </c>
      <c r="D37">
        <v>3</v>
      </c>
      <c r="E37">
        <v>2</v>
      </c>
      <c r="F37">
        <v>3</v>
      </c>
      <c r="G37">
        <v>3</v>
      </c>
      <c r="H37">
        <v>2</v>
      </c>
      <c r="I37" t="s">
        <v>468</v>
      </c>
    </row>
    <row r="38" spans="1:9" x14ac:dyDescent="0.3">
      <c r="A38" t="s">
        <v>517</v>
      </c>
      <c r="B38" t="s">
        <v>438</v>
      </c>
      <c r="C38" t="s">
        <v>458</v>
      </c>
      <c r="D38">
        <v>2</v>
      </c>
      <c r="E38">
        <v>3</v>
      </c>
      <c r="F38">
        <v>3</v>
      </c>
      <c r="G38">
        <v>2</v>
      </c>
      <c r="H38">
        <v>2</v>
      </c>
      <c r="I38" t="s">
        <v>468</v>
      </c>
    </row>
    <row r="39" spans="1:9" x14ac:dyDescent="0.3">
      <c r="A39" t="s">
        <v>517</v>
      </c>
      <c r="B39" t="s">
        <v>285</v>
      </c>
      <c r="C39" t="s">
        <v>355</v>
      </c>
      <c r="D39">
        <v>1</v>
      </c>
      <c r="E39">
        <v>1</v>
      </c>
      <c r="F39">
        <v>3</v>
      </c>
      <c r="G39">
        <v>3</v>
      </c>
      <c r="H39">
        <v>1</v>
      </c>
      <c r="I39" t="s">
        <v>468</v>
      </c>
    </row>
    <row r="40" spans="1:9" x14ac:dyDescent="0.3">
      <c r="A40" t="s">
        <v>517</v>
      </c>
      <c r="B40" t="s">
        <v>192</v>
      </c>
      <c r="C40" t="s">
        <v>379</v>
      </c>
      <c r="D40">
        <v>3</v>
      </c>
      <c r="E40">
        <v>1</v>
      </c>
      <c r="F40">
        <v>3</v>
      </c>
      <c r="G40">
        <v>3</v>
      </c>
      <c r="H40">
        <v>1</v>
      </c>
      <c r="I40" t="s">
        <v>468</v>
      </c>
    </row>
    <row r="41" spans="1:9" x14ac:dyDescent="0.3">
      <c r="A41" t="s">
        <v>517</v>
      </c>
      <c r="B41" t="s">
        <v>222</v>
      </c>
      <c r="C41" t="s">
        <v>394</v>
      </c>
      <c r="D41">
        <v>2</v>
      </c>
      <c r="E41">
        <v>3</v>
      </c>
      <c r="F41">
        <v>1</v>
      </c>
      <c r="G41">
        <v>3</v>
      </c>
      <c r="H41">
        <v>1</v>
      </c>
      <c r="I41" t="s">
        <v>468</v>
      </c>
    </row>
    <row r="42" spans="1:9" x14ac:dyDescent="0.3">
      <c r="A42" t="s">
        <v>517</v>
      </c>
      <c r="B42" t="s">
        <v>258</v>
      </c>
      <c r="C42" t="s">
        <v>346</v>
      </c>
      <c r="D42">
        <v>3</v>
      </c>
      <c r="E42">
        <v>2</v>
      </c>
      <c r="F42">
        <v>3</v>
      </c>
      <c r="G42">
        <v>3</v>
      </c>
      <c r="H42">
        <v>2</v>
      </c>
      <c r="I42" t="s">
        <v>468</v>
      </c>
    </row>
    <row r="43" spans="1:9" x14ac:dyDescent="0.3">
      <c r="A43" t="s">
        <v>517</v>
      </c>
      <c r="B43" t="s">
        <v>414</v>
      </c>
      <c r="C43" t="s">
        <v>493</v>
      </c>
      <c r="D43">
        <v>1</v>
      </c>
      <c r="E43">
        <v>1</v>
      </c>
      <c r="F43">
        <v>1</v>
      </c>
      <c r="G43">
        <v>1</v>
      </c>
      <c r="H43">
        <v>1</v>
      </c>
      <c r="I43" t="s">
        <v>468</v>
      </c>
    </row>
    <row r="44" spans="1:9" x14ac:dyDescent="0.3">
      <c r="A44" t="s">
        <v>517</v>
      </c>
      <c r="B44" t="s">
        <v>54</v>
      </c>
      <c r="C44" t="s">
        <v>312</v>
      </c>
      <c r="D44">
        <v>3</v>
      </c>
      <c r="E44">
        <v>1</v>
      </c>
      <c r="F44">
        <v>1</v>
      </c>
      <c r="G44">
        <v>3</v>
      </c>
      <c r="H44">
        <v>2</v>
      </c>
      <c r="I44" t="s">
        <v>468</v>
      </c>
    </row>
    <row r="45" spans="1:9" x14ac:dyDescent="0.3">
      <c r="A45" t="s">
        <v>517</v>
      </c>
      <c r="B45" t="s">
        <v>411</v>
      </c>
      <c r="C45" t="s">
        <v>494</v>
      </c>
      <c r="D45">
        <v>1</v>
      </c>
      <c r="E45">
        <v>1</v>
      </c>
      <c r="F45">
        <v>1</v>
      </c>
      <c r="G45">
        <v>1</v>
      </c>
      <c r="H45">
        <v>1</v>
      </c>
      <c r="I45" t="s">
        <v>468</v>
      </c>
    </row>
    <row r="46" spans="1:9" x14ac:dyDescent="0.3">
      <c r="A46" t="s">
        <v>517</v>
      </c>
      <c r="B46" t="s">
        <v>422</v>
      </c>
      <c r="C46" t="s">
        <v>495</v>
      </c>
      <c r="D46">
        <v>1</v>
      </c>
      <c r="E46">
        <v>1</v>
      </c>
      <c r="F46">
        <v>1</v>
      </c>
      <c r="G46">
        <v>1</v>
      </c>
      <c r="H46">
        <v>1</v>
      </c>
      <c r="I46" t="s">
        <v>468</v>
      </c>
    </row>
    <row r="47" spans="1:9" x14ac:dyDescent="0.3">
      <c r="A47" t="s">
        <v>517</v>
      </c>
      <c r="B47" t="s">
        <v>264</v>
      </c>
      <c r="C47" t="s">
        <v>364</v>
      </c>
      <c r="D47" t="s">
        <v>16</v>
      </c>
      <c r="E47" t="s">
        <v>18</v>
      </c>
      <c r="F47" t="s">
        <v>18</v>
      </c>
      <c r="G47" t="s">
        <v>16</v>
      </c>
      <c r="H47" t="s">
        <v>16</v>
      </c>
      <c r="I47" t="s">
        <v>468</v>
      </c>
    </row>
    <row r="48" spans="1:9" x14ac:dyDescent="0.3">
      <c r="A48" t="s">
        <v>517</v>
      </c>
      <c r="B48" t="s">
        <v>202</v>
      </c>
      <c r="C48" t="s">
        <v>384</v>
      </c>
      <c r="D48">
        <v>3</v>
      </c>
      <c r="E48">
        <v>3</v>
      </c>
      <c r="F48">
        <v>1</v>
      </c>
      <c r="G48">
        <v>3</v>
      </c>
      <c r="H48">
        <v>1</v>
      </c>
      <c r="I48" t="s">
        <v>468</v>
      </c>
    </row>
    <row r="49" spans="1:9" x14ac:dyDescent="0.3">
      <c r="A49" t="s">
        <v>517</v>
      </c>
      <c r="B49" t="s">
        <v>148</v>
      </c>
      <c r="C49" t="s">
        <v>357</v>
      </c>
      <c r="D49">
        <v>2</v>
      </c>
      <c r="E49">
        <v>3</v>
      </c>
      <c r="F49">
        <v>3</v>
      </c>
      <c r="G49">
        <v>2</v>
      </c>
      <c r="H49">
        <v>2</v>
      </c>
      <c r="I49" t="s">
        <v>468</v>
      </c>
    </row>
    <row r="50" spans="1:9" x14ac:dyDescent="0.3">
      <c r="A50" t="s">
        <v>517</v>
      </c>
      <c r="B50" t="s">
        <v>262</v>
      </c>
      <c r="C50" t="s">
        <v>359</v>
      </c>
      <c r="D50">
        <v>2</v>
      </c>
      <c r="E50">
        <v>3</v>
      </c>
      <c r="F50">
        <v>1</v>
      </c>
      <c r="G50">
        <v>1</v>
      </c>
      <c r="H50">
        <v>2</v>
      </c>
      <c r="I50" t="s">
        <v>468</v>
      </c>
    </row>
    <row r="51" spans="1:9" x14ac:dyDescent="0.3">
      <c r="A51" t="s">
        <v>517</v>
      </c>
      <c r="B51" t="s">
        <v>288</v>
      </c>
      <c r="C51" t="s">
        <v>395</v>
      </c>
      <c r="D51">
        <v>3</v>
      </c>
      <c r="E51">
        <v>1</v>
      </c>
      <c r="F51">
        <v>3</v>
      </c>
      <c r="G51">
        <v>3</v>
      </c>
      <c r="H51">
        <v>1</v>
      </c>
      <c r="I51" t="s">
        <v>468</v>
      </c>
    </row>
    <row r="52" spans="1:9" x14ac:dyDescent="0.3">
      <c r="A52" t="s">
        <v>517</v>
      </c>
      <c r="B52" t="s">
        <v>442</v>
      </c>
      <c r="C52" t="s">
        <v>459</v>
      </c>
      <c r="D52">
        <v>1</v>
      </c>
      <c r="E52">
        <v>1</v>
      </c>
      <c r="F52">
        <v>1</v>
      </c>
      <c r="G52">
        <v>1</v>
      </c>
      <c r="H52">
        <v>1</v>
      </c>
      <c r="I52" t="s">
        <v>468</v>
      </c>
    </row>
    <row r="53" spans="1:9" x14ac:dyDescent="0.3">
      <c r="A53" t="s">
        <v>517</v>
      </c>
      <c r="B53" t="s">
        <v>443</v>
      </c>
      <c r="C53" t="s">
        <v>460</v>
      </c>
      <c r="D53">
        <v>1</v>
      </c>
      <c r="E53">
        <v>1</v>
      </c>
      <c r="F53">
        <v>1</v>
      </c>
      <c r="G53">
        <v>1</v>
      </c>
      <c r="H53">
        <v>1</v>
      </c>
      <c r="I53" t="s">
        <v>468</v>
      </c>
    </row>
    <row r="54" spans="1:9" x14ac:dyDescent="0.3">
      <c r="A54" t="s">
        <v>517</v>
      </c>
      <c r="B54" t="s">
        <v>287</v>
      </c>
      <c r="C54" t="s">
        <v>366</v>
      </c>
      <c r="D54">
        <v>2</v>
      </c>
      <c r="E54">
        <v>3</v>
      </c>
      <c r="F54">
        <v>1</v>
      </c>
      <c r="G54">
        <v>3</v>
      </c>
      <c r="H54">
        <v>2</v>
      </c>
      <c r="I54" t="s">
        <v>468</v>
      </c>
    </row>
    <row r="55" spans="1:9" x14ac:dyDescent="0.3">
      <c r="A55" t="s">
        <v>517</v>
      </c>
      <c r="B55" t="s">
        <v>292</v>
      </c>
      <c r="C55" t="s">
        <v>368</v>
      </c>
      <c r="D55">
        <v>3</v>
      </c>
      <c r="E55">
        <v>3</v>
      </c>
      <c r="F55">
        <v>3</v>
      </c>
      <c r="G55">
        <v>3</v>
      </c>
      <c r="H55">
        <v>2</v>
      </c>
      <c r="I55" t="s">
        <v>468</v>
      </c>
    </row>
    <row r="56" spans="1:9" x14ac:dyDescent="0.3">
      <c r="A56" t="s">
        <v>517</v>
      </c>
      <c r="B56" t="s">
        <v>423</v>
      </c>
      <c r="C56" t="s">
        <v>497</v>
      </c>
      <c r="D56">
        <v>1</v>
      </c>
      <c r="E56">
        <v>1</v>
      </c>
      <c r="F56">
        <v>1</v>
      </c>
      <c r="G56">
        <v>1</v>
      </c>
      <c r="H56">
        <v>1</v>
      </c>
      <c r="I56" t="s">
        <v>468</v>
      </c>
    </row>
    <row r="57" spans="1:9" x14ac:dyDescent="0.3">
      <c r="A57" t="s">
        <v>517</v>
      </c>
      <c r="B57" t="s">
        <v>230</v>
      </c>
      <c r="C57" t="s">
        <v>398</v>
      </c>
      <c r="D57">
        <v>2</v>
      </c>
      <c r="E57">
        <v>2</v>
      </c>
      <c r="F57">
        <v>2</v>
      </c>
      <c r="G57">
        <v>1</v>
      </c>
      <c r="H57">
        <v>1</v>
      </c>
      <c r="I57" t="s">
        <v>468</v>
      </c>
    </row>
    <row r="58" spans="1:9" x14ac:dyDescent="0.3">
      <c r="A58" t="s">
        <v>517</v>
      </c>
      <c r="B58" t="s">
        <v>281</v>
      </c>
      <c r="C58" t="s">
        <v>324</v>
      </c>
      <c r="D58">
        <v>3</v>
      </c>
      <c r="E58">
        <v>3</v>
      </c>
      <c r="F58">
        <v>3</v>
      </c>
      <c r="G58">
        <v>3</v>
      </c>
      <c r="H58">
        <v>1</v>
      </c>
      <c r="I58" t="s">
        <v>468</v>
      </c>
    </row>
    <row r="59" spans="1:9" x14ac:dyDescent="0.3">
      <c r="A59" t="s">
        <v>517</v>
      </c>
      <c r="B59" t="s">
        <v>266</v>
      </c>
      <c r="C59" t="s">
        <v>371</v>
      </c>
      <c r="D59">
        <v>2</v>
      </c>
      <c r="E59">
        <v>3</v>
      </c>
      <c r="F59">
        <v>2</v>
      </c>
      <c r="G59">
        <v>1</v>
      </c>
      <c r="H59">
        <v>1</v>
      </c>
      <c r="I59" t="s">
        <v>468</v>
      </c>
    </row>
    <row r="60" spans="1:9" x14ac:dyDescent="0.3">
      <c r="A60" t="s">
        <v>517</v>
      </c>
      <c r="B60" t="s">
        <v>210</v>
      </c>
      <c r="C60" t="s">
        <v>388</v>
      </c>
      <c r="D60">
        <v>2</v>
      </c>
      <c r="E60">
        <v>3</v>
      </c>
      <c r="F60">
        <v>3</v>
      </c>
      <c r="G60">
        <v>3</v>
      </c>
      <c r="H60">
        <v>1</v>
      </c>
      <c r="I60" t="s">
        <v>468</v>
      </c>
    </row>
    <row r="61" spans="1:9" x14ac:dyDescent="0.3">
      <c r="A61" t="s">
        <v>517</v>
      </c>
      <c r="B61" t="s">
        <v>220</v>
      </c>
      <c r="C61" t="s">
        <v>393</v>
      </c>
      <c r="D61">
        <v>3</v>
      </c>
      <c r="E61">
        <v>3</v>
      </c>
      <c r="F61">
        <v>3</v>
      </c>
      <c r="G61">
        <v>3</v>
      </c>
      <c r="H61">
        <v>2</v>
      </c>
      <c r="I61" t="s">
        <v>468</v>
      </c>
    </row>
    <row r="62" spans="1:9" x14ac:dyDescent="0.3">
      <c r="A62" t="s">
        <v>517</v>
      </c>
      <c r="B62" t="s">
        <v>252</v>
      </c>
      <c r="C62" t="s">
        <v>327</v>
      </c>
      <c r="D62">
        <v>2</v>
      </c>
      <c r="E62">
        <v>3</v>
      </c>
      <c r="F62">
        <v>1</v>
      </c>
      <c r="G62">
        <v>2</v>
      </c>
      <c r="H62">
        <v>1</v>
      </c>
      <c r="I62" t="s">
        <v>468</v>
      </c>
    </row>
    <row r="63" spans="1:9" x14ac:dyDescent="0.3">
      <c r="A63" t="s">
        <v>517</v>
      </c>
      <c r="B63" t="s">
        <v>196</v>
      </c>
      <c r="C63" t="s">
        <v>381</v>
      </c>
      <c r="D63">
        <v>2</v>
      </c>
      <c r="E63">
        <v>2</v>
      </c>
      <c r="F63">
        <v>1</v>
      </c>
      <c r="G63">
        <v>1</v>
      </c>
      <c r="H63">
        <v>2</v>
      </c>
      <c r="I63" t="s">
        <v>468</v>
      </c>
    </row>
    <row r="64" spans="1:9" x14ac:dyDescent="0.3">
      <c r="A64" t="s">
        <v>517</v>
      </c>
      <c r="B64" t="s">
        <v>263</v>
      </c>
      <c r="C64" t="s">
        <v>362</v>
      </c>
      <c r="D64">
        <v>1</v>
      </c>
      <c r="E64">
        <v>3</v>
      </c>
      <c r="F64">
        <v>1</v>
      </c>
      <c r="G64">
        <v>3</v>
      </c>
      <c r="H64">
        <v>2</v>
      </c>
      <c r="I64" t="s">
        <v>468</v>
      </c>
    </row>
    <row r="65" spans="1:9" x14ac:dyDescent="0.3">
      <c r="A65" t="s">
        <v>517</v>
      </c>
      <c r="B65" t="s">
        <v>238</v>
      </c>
      <c r="C65" t="s">
        <v>402</v>
      </c>
      <c r="D65">
        <v>2</v>
      </c>
      <c r="E65">
        <v>3</v>
      </c>
      <c r="F65">
        <v>1</v>
      </c>
      <c r="G65">
        <v>3</v>
      </c>
      <c r="H65">
        <v>2</v>
      </c>
      <c r="I65" t="s">
        <v>468</v>
      </c>
    </row>
    <row r="66" spans="1:9" x14ac:dyDescent="0.3">
      <c r="A66" t="s">
        <v>517</v>
      </c>
      <c r="B66" t="s">
        <v>106</v>
      </c>
      <c r="C66" t="s">
        <v>337</v>
      </c>
      <c r="D66">
        <v>2</v>
      </c>
      <c r="E66">
        <v>3</v>
      </c>
      <c r="F66">
        <v>1</v>
      </c>
      <c r="G66">
        <v>3</v>
      </c>
      <c r="H66">
        <v>1</v>
      </c>
      <c r="I66" t="s">
        <v>468</v>
      </c>
    </row>
    <row r="67" spans="1:9" x14ac:dyDescent="0.3">
      <c r="A67" t="s">
        <v>517</v>
      </c>
      <c r="B67" t="s">
        <v>146</v>
      </c>
      <c r="C67" t="s">
        <v>356</v>
      </c>
      <c r="D67">
        <v>3</v>
      </c>
      <c r="E67">
        <v>3</v>
      </c>
      <c r="F67">
        <v>1</v>
      </c>
      <c r="G67">
        <v>2</v>
      </c>
      <c r="H67">
        <v>2</v>
      </c>
      <c r="I67" t="s">
        <v>467</v>
      </c>
    </row>
    <row r="68" spans="1:9" x14ac:dyDescent="0.3">
      <c r="A68" t="s">
        <v>517</v>
      </c>
      <c r="B68" t="s">
        <v>429</v>
      </c>
      <c r="C68" t="s">
        <v>475</v>
      </c>
      <c r="D68">
        <v>1</v>
      </c>
      <c r="E68">
        <v>1</v>
      </c>
      <c r="F68">
        <v>1</v>
      </c>
      <c r="G68">
        <v>1</v>
      </c>
      <c r="H68">
        <v>1</v>
      </c>
      <c r="I68" t="s">
        <v>467</v>
      </c>
    </row>
    <row r="69" spans="1:9" x14ac:dyDescent="0.3">
      <c r="A69" t="s">
        <v>517</v>
      </c>
      <c r="B69" t="s">
        <v>278</v>
      </c>
      <c r="C69" t="s">
        <v>300</v>
      </c>
      <c r="D69" t="s">
        <v>16</v>
      </c>
      <c r="E69" t="s">
        <v>18</v>
      </c>
      <c r="F69" t="s">
        <v>18</v>
      </c>
      <c r="G69">
        <v>2</v>
      </c>
      <c r="H69">
        <v>2</v>
      </c>
      <c r="I69" t="s">
        <v>467</v>
      </c>
    </row>
    <row r="70" spans="1:9" x14ac:dyDescent="0.3">
      <c r="A70" t="s">
        <v>517</v>
      </c>
      <c r="B70" t="s">
        <v>250</v>
      </c>
      <c r="C70" t="s">
        <v>321</v>
      </c>
      <c r="D70">
        <v>2</v>
      </c>
      <c r="E70">
        <v>1</v>
      </c>
      <c r="F70">
        <v>3</v>
      </c>
      <c r="G70">
        <v>3</v>
      </c>
      <c r="H70">
        <v>2</v>
      </c>
      <c r="I70" t="s">
        <v>467</v>
      </c>
    </row>
    <row r="71" spans="1:9" x14ac:dyDescent="0.3">
      <c r="A71" t="s">
        <v>517</v>
      </c>
      <c r="B71" t="s">
        <v>90</v>
      </c>
      <c r="C71" t="s">
        <v>293</v>
      </c>
      <c r="D71">
        <v>3</v>
      </c>
      <c r="E71">
        <v>3</v>
      </c>
      <c r="F71">
        <v>1</v>
      </c>
      <c r="G71">
        <v>2</v>
      </c>
      <c r="H71">
        <v>2</v>
      </c>
      <c r="I71" t="s">
        <v>467</v>
      </c>
    </row>
    <row r="72" spans="1:9" x14ac:dyDescent="0.3">
      <c r="A72" t="s">
        <v>517</v>
      </c>
      <c r="B72" t="s">
        <v>265</v>
      </c>
      <c r="C72" t="s">
        <v>365</v>
      </c>
      <c r="D72" t="s">
        <v>16</v>
      </c>
      <c r="E72" t="s">
        <v>18</v>
      </c>
      <c r="F72" t="s">
        <v>18</v>
      </c>
      <c r="G72" t="s">
        <v>16</v>
      </c>
      <c r="H72" t="s">
        <v>16</v>
      </c>
      <c r="I72" t="s">
        <v>467</v>
      </c>
    </row>
    <row r="73" spans="1:9" x14ac:dyDescent="0.3">
      <c r="A73" t="s">
        <v>517</v>
      </c>
      <c r="B73" t="s">
        <v>248</v>
      </c>
      <c r="C73" t="s">
        <v>315</v>
      </c>
      <c r="D73">
        <v>1</v>
      </c>
      <c r="E73">
        <v>1</v>
      </c>
      <c r="F73">
        <v>3</v>
      </c>
      <c r="G73">
        <v>3</v>
      </c>
      <c r="H73">
        <v>2</v>
      </c>
      <c r="I73" t="s">
        <v>467</v>
      </c>
    </row>
    <row r="74" spans="1:9" x14ac:dyDescent="0.3">
      <c r="A74" t="s">
        <v>517</v>
      </c>
      <c r="B74" t="s">
        <v>276</v>
      </c>
      <c r="C74" t="s">
        <v>401</v>
      </c>
      <c r="D74">
        <v>3</v>
      </c>
      <c r="E74">
        <v>1</v>
      </c>
      <c r="F74">
        <v>1</v>
      </c>
      <c r="G74">
        <v>3</v>
      </c>
      <c r="H74">
        <v>1</v>
      </c>
      <c r="I74" t="s">
        <v>467</v>
      </c>
    </row>
    <row r="75" spans="1:9" x14ac:dyDescent="0.3">
      <c r="A75" t="s">
        <v>517</v>
      </c>
      <c r="B75" t="s">
        <v>66</v>
      </c>
      <c r="C75" t="s">
        <v>318</v>
      </c>
      <c r="D75">
        <v>3</v>
      </c>
      <c r="E75" t="s">
        <v>18</v>
      </c>
      <c r="F75" t="s">
        <v>18</v>
      </c>
      <c r="G75" t="s">
        <v>16</v>
      </c>
      <c r="H75" t="s">
        <v>16</v>
      </c>
      <c r="I75" t="s">
        <v>467</v>
      </c>
    </row>
    <row r="76" spans="1:9" x14ac:dyDescent="0.3">
      <c r="A76" t="s">
        <v>517</v>
      </c>
      <c r="B76" t="s">
        <v>408</v>
      </c>
      <c r="C76" t="s">
        <v>483</v>
      </c>
      <c r="D76">
        <v>1</v>
      </c>
      <c r="E76">
        <v>1</v>
      </c>
      <c r="F76">
        <v>1</v>
      </c>
      <c r="G76">
        <v>1</v>
      </c>
      <c r="H76">
        <v>1</v>
      </c>
      <c r="I76" t="s">
        <v>467</v>
      </c>
    </row>
    <row r="77" spans="1:9" x14ac:dyDescent="0.3">
      <c r="A77" t="s">
        <v>517</v>
      </c>
      <c r="B77" t="s">
        <v>212</v>
      </c>
      <c r="C77" t="s">
        <v>389</v>
      </c>
      <c r="D77">
        <v>3</v>
      </c>
      <c r="E77">
        <v>3</v>
      </c>
      <c r="F77" t="s">
        <v>473</v>
      </c>
      <c r="G77" t="s">
        <v>473</v>
      </c>
      <c r="H77">
        <v>1</v>
      </c>
      <c r="I77" t="s">
        <v>467</v>
      </c>
    </row>
    <row r="78" spans="1:9" x14ac:dyDescent="0.3">
      <c r="A78" t="s">
        <v>517</v>
      </c>
      <c r="B78" t="s">
        <v>86</v>
      </c>
      <c r="C78" t="s">
        <v>328</v>
      </c>
      <c r="D78">
        <v>2</v>
      </c>
      <c r="E78">
        <v>1</v>
      </c>
      <c r="F78">
        <v>2</v>
      </c>
      <c r="G78">
        <v>2</v>
      </c>
      <c r="H78">
        <v>2</v>
      </c>
      <c r="I78" t="s">
        <v>467</v>
      </c>
    </row>
    <row r="79" spans="1:9" x14ac:dyDescent="0.3">
      <c r="A79" t="s">
        <v>517</v>
      </c>
      <c r="B79" t="s">
        <v>405</v>
      </c>
      <c r="C79" t="s">
        <v>487</v>
      </c>
      <c r="D79">
        <v>1</v>
      </c>
      <c r="E79">
        <v>1</v>
      </c>
      <c r="F79">
        <v>1</v>
      </c>
      <c r="G79">
        <v>1</v>
      </c>
      <c r="H79">
        <v>1</v>
      </c>
      <c r="I79" t="s">
        <v>467</v>
      </c>
    </row>
    <row r="80" spans="1:9" x14ac:dyDescent="0.3">
      <c r="A80" t="s">
        <v>517</v>
      </c>
      <c r="B80" t="s">
        <v>42</v>
      </c>
      <c r="C80" t="s">
        <v>307</v>
      </c>
      <c r="D80">
        <v>3</v>
      </c>
      <c r="E80">
        <v>3</v>
      </c>
      <c r="F80">
        <v>1</v>
      </c>
      <c r="G80">
        <v>3</v>
      </c>
      <c r="H80">
        <v>2</v>
      </c>
      <c r="I80" t="s">
        <v>467</v>
      </c>
    </row>
    <row r="81" spans="1:9" x14ac:dyDescent="0.3">
      <c r="A81" t="s">
        <v>517</v>
      </c>
      <c r="B81" t="s">
        <v>437</v>
      </c>
      <c r="C81" t="s">
        <v>453</v>
      </c>
      <c r="D81">
        <v>3</v>
      </c>
      <c r="E81">
        <v>3</v>
      </c>
      <c r="F81">
        <v>3</v>
      </c>
      <c r="G81">
        <v>3</v>
      </c>
      <c r="H81">
        <v>1</v>
      </c>
      <c r="I81" t="s">
        <v>467</v>
      </c>
    </row>
    <row r="82" spans="1:9" x14ac:dyDescent="0.3">
      <c r="A82" t="s">
        <v>517</v>
      </c>
      <c r="B82" t="s">
        <v>140</v>
      </c>
      <c r="C82" t="s">
        <v>294</v>
      </c>
      <c r="D82" t="s">
        <v>16</v>
      </c>
      <c r="E82">
        <v>3</v>
      </c>
      <c r="F82" t="s">
        <v>18</v>
      </c>
      <c r="G82" t="s">
        <v>16</v>
      </c>
      <c r="H82" t="s">
        <v>16</v>
      </c>
      <c r="I82" t="s">
        <v>467</v>
      </c>
    </row>
    <row r="83" spans="1:9" x14ac:dyDescent="0.3">
      <c r="A83" t="s">
        <v>517</v>
      </c>
      <c r="B83" t="s">
        <v>20</v>
      </c>
      <c r="C83" t="s">
        <v>297</v>
      </c>
      <c r="D83">
        <v>3</v>
      </c>
      <c r="E83">
        <v>3</v>
      </c>
      <c r="F83">
        <v>1</v>
      </c>
      <c r="G83">
        <v>3</v>
      </c>
      <c r="H83">
        <v>2</v>
      </c>
      <c r="I83" t="s">
        <v>467</v>
      </c>
    </row>
    <row r="84" spans="1:9" x14ac:dyDescent="0.3">
      <c r="A84" t="s">
        <v>517</v>
      </c>
      <c r="B84" t="s">
        <v>430</v>
      </c>
      <c r="C84" t="s">
        <v>490</v>
      </c>
      <c r="D84">
        <v>1</v>
      </c>
      <c r="E84">
        <v>1</v>
      </c>
      <c r="F84">
        <v>1</v>
      </c>
      <c r="G84">
        <v>1</v>
      </c>
      <c r="H84">
        <v>1</v>
      </c>
      <c r="I84" t="s">
        <v>467</v>
      </c>
    </row>
    <row r="85" spans="1:9" x14ac:dyDescent="0.3">
      <c r="A85" t="s">
        <v>517</v>
      </c>
      <c r="B85" t="s">
        <v>431</v>
      </c>
      <c r="C85" t="s">
        <v>491</v>
      </c>
      <c r="D85">
        <v>1</v>
      </c>
      <c r="E85">
        <v>1</v>
      </c>
      <c r="F85">
        <v>1</v>
      </c>
      <c r="G85">
        <v>1</v>
      </c>
      <c r="H85">
        <v>1</v>
      </c>
      <c r="I85" t="s">
        <v>467</v>
      </c>
    </row>
    <row r="86" spans="1:9" x14ac:dyDescent="0.3">
      <c r="A86" t="s">
        <v>517</v>
      </c>
      <c r="B86" t="s">
        <v>243</v>
      </c>
      <c r="C86" t="s">
        <v>305</v>
      </c>
      <c r="D86">
        <v>3</v>
      </c>
      <c r="E86">
        <v>3</v>
      </c>
      <c r="F86">
        <v>1</v>
      </c>
      <c r="G86">
        <v>3</v>
      </c>
      <c r="H86">
        <v>1</v>
      </c>
      <c r="I86" t="s">
        <v>467</v>
      </c>
    </row>
    <row r="87" spans="1:9" x14ac:dyDescent="0.3">
      <c r="A87" t="s">
        <v>517</v>
      </c>
      <c r="B87" t="s">
        <v>415</v>
      </c>
      <c r="C87" t="s">
        <v>492</v>
      </c>
      <c r="D87">
        <v>1</v>
      </c>
      <c r="E87">
        <v>1</v>
      </c>
      <c r="F87">
        <v>1</v>
      </c>
      <c r="G87">
        <v>1</v>
      </c>
      <c r="H87">
        <v>1</v>
      </c>
      <c r="I87" t="s">
        <v>467</v>
      </c>
    </row>
    <row r="88" spans="1:9" x14ac:dyDescent="0.3">
      <c r="A88" t="s">
        <v>517</v>
      </c>
      <c r="B88" t="s">
        <v>15</v>
      </c>
      <c r="C88" t="s">
        <v>296</v>
      </c>
      <c r="D88" t="s">
        <v>16</v>
      </c>
      <c r="E88">
        <v>3</v>
      </c>
      <c r="F88" t="s">
        <v>18</v>
      </c>
      <c r="G88" t="s">
        <v>16</v>
      </c>
      <c r="H88" t="s">
        <v>16</v>
      </c>
      <c r="I88" t="s">
        <v>467</v>
      </c>
    </row>
    <row r="89" spans="1:9" x14ac:dyDescent="0.3">
      <c r="A89" t="s">
        <v>517</v>
      </c>
      <c r="B89" t="s">
        <v>208</v>
      </c>
      <c r="C89" t="s">
        <v>387</v>
      </c>
      <c r="D89" t="s">
        <v>16</v>
      </c>
      <c r="E89" t="s">
        <v>18</v>
      </c>
      <c r="F89" t="s">
        <v>18</v>
      </c>
      <c r="G89">
        <v>1</v>
      </c>
      <c r="H89">
        <v>1</v>
      </c>
      <c r="I89" t="s">
        <v>467</v>
      </c>
    </row>
    <row r="90" spans="1:9" x14ac:dyDescent="0.3">
      <c r="A90" t="s">
        <v>517</v>
      </c>
      <c r="B90" t="s">
        <v>249</v>
      </c>
      <c r="C90" t="s">
        <v>317</v>
      </c>
      <c r="D90">
        <v>2</v>
      </c>
      <c r="E90">
        <v>3</v>
      </c>
      <c r="F90">
        <v>1</v>
      </c>
      <c r="G90">
        <v>3</v>
      </c>
      <c r="H90">
        <v>2</v>
      </c>
      <c r="I90" t="s">
        <v>467</v>
      </c>
    </row>
    <row r="91" spans="1:9" x14ac:dyDescent="0.3">
      <c r="A91" t="s">
        <v>517</v>
      </c>
      <c r="B91" t="s">
        <v>272</v>
      </c>
      <c r="C91" t="s">
        <v>382</v>
      </c>
      <c r="D91">
        <v>1</v>
      </c>
      <c r="E91">
        <v>2</v>
      </c>
      <c r="F91">
        <v>3</v>
      </c>
      <c r="G91">
        <v>2</v>
      </c>
      <c r="H91">
        <v>1</v>
      </c>
      <c r="I91" t="s">
        <v>467</v>
      </c>
    </row>
    <row r="92" spans="1:9" x14ac:dyDescent="0.3">
      <c r="A92" t="s">
        <v>517</v>
      </c>
      <c r="B92" t="s">
        <v>226</v>
      </c>
      <c r="C92" t="s">
        <v>396</v>
      </c>
      <c r="D92">
        <v>2</v>
      </c>
      <c r="E92">
        <v>2</v>
      </c>
      <c r="F92">
        <v>1</v>
      </c>
      <c r="G92">
        <v>3</v>
      </c>
      <c r="H92">
        <v>2</v>
      </c>
      <c r="I92" t="s">
        <v>467</v>
      </c>
    </row>
    <row r="93" spans="1:9" x14ac:dyDescent="0.3">
      <c r="A93" t="s">
        <v>517</v>
      </c>
      <c r="B93" t="s">
        <v>76</v>
      </c>
      <c r="C93" t="s">
        <v>323</v>
      </c>
      <c r="D93">
        <v>1</v>
      </c>
      <c r="E93">
        <v>3</v>
      </c>
      <c r="F93">
        <v>3</v>
      </c>
      <c r="G93">
        <v>2</v>
      </c>
      <c r="H93">
        <v>2</v>
      </c>
      <c r="I93" t="s">
        <v>467</v>
      </c>
    </row>
    <row r="94" spans="1:9" x14ac:dyDescent="0.3">
      <c r="A94" t="s">
        <v>517</v>
      </c>
      <c r="B94" t="s">
        <v>446</v>
      </c>
      <c r="C94" t="s">
        <v>464</v>
      </c>
      <c r="D94">
        <v>2</v>
      </c>
      <c r="E94">
        <v>3</v>
      </c>
      <c r="F94">
        <v>1</v>
      </c>
      <c r="G94">
        <v>2</v>
      </c>
      <c r="H94">
        <v>2</v>
      </c>
      <c r="I94" t="s">
        <v>467</v>
      </c>
    </row>
    <row r="95" spans="1:9" x14ac:dyDescent="0.3">
      <c r="A95" t="s">
        <v>517</v>
      </c>
      <c r="B95" t="s">
        <v>206</v>
      </c>
      <c r="C95" t="s">
        <v>386</v>
      </c>
      <c r="D95">
        <v>3</v>
      </c>
      <c r="E95">
        <v>3</v>
      </c>
      <c r="F95">
        <v>1</v>
      </c>
      <c r="G95">
        <v>3</v>
      </c>
      <c r="H95">
        <v>2</v>
      </c>
      <c r="I95" t="s">
        <v>467</v>
      </c>
    </row>
    <row r="96" spans="1:9" x14ac:dyDescent="0.3">
      <c r="A96" t="s">
        <v>517</v>
      </c>
      <c r="B96" t="s">
        <v>409</v>
      </c>
      <c r="C96" t="s">
        <v>500</v>
      </c>
      <c r="D96">
        <v>1</v>
      </c>
      <c r="E96">
        <v>1</v>
      </c>
      <c r="F96">
        <v>1</v>
      </c>
      <c r="G96">
        <v>1</v>
      </c>
      <c r="H96">
        <v>1</v>
      </c>
      <c r="I96" t="s">
        <v>467</v>
      </c>
    </row>
    <row r="97" spans="1:9" x14ac:dyDescent="0.3">
      <c r="A97" t="s">
        <v>517</v>
      </c>
      <c r="B97" t="s">
        <v>52</v>
      </c>
      <c r="C97" t="s">
        <v>295</v>
      </c>
      <c r="D97">
        <v>2</v>
      </c>
      <c r="E97">
        <v>3</v>
      </c>
      <c r="F97">
        <v>1</v>
      </c>
      <c r="G97">
        <v>1</v>
      </c>
      <c r="H97">
        <v>2</v>
      </c>
      <c r="I97" t="s">
        <v>467</v>
      </c>
    </row>
    <row r="98" spans="1:9" x14ac:dyDescent="0.3">
      <c r="A98" t="s">
        <v>517</v>
      </c>
      <c r="B98" t="s">
        <v>447</v>
      </c>
      <c r="C98" t="s">
        <v>465</v>
      </c>
      <c r="D98">
        <v>1</v>
      </c>
      <c r="E98">
        <v>1</v>
      </c>
      <c r="F98">
        <v>1</v>
      </c>
      <c r="G98">
        <v>1</v>
      </c>
      <c r="H98">
        <v>1</v>
      </c>
      <c r="I98" t="s">
        <v>467</v>
      </c>
    </row>
    <row r="99" spans="1:9" x14ac:dyDescent="0.3">
      <c r="A99" t="s">
        <v>518</v>
      </c>
      <c r="B99" t="s">
        <v>418</v>
      </c>
      <c r="C99" t="s">
        <v>478</v>
      </c>
      <c r="D99">
        <v>1</v>
      </c>
      <c r="E99">
        <v>1</v>
      </c>
      <c r="F99">
        <v>1</v>
      </c>
      <c r="G99">
        <v>1</v>
      </c>
      <c r="H99">
        <v>1</v>
      </c>
      <c r="I99" t="s">
        <v>471</v>
      </c>
    </row>
    <row r="100" spans="1:9" x14ac:dyDescent="0.3">
      <c r="A100" t="s">
        <v>518</v>
      </c>
      <c r="B100" t="s">
        <v>434</v>
      </c>
      <c r="C100" t="s">
        <v>450</v>
      </c>
      <c r="D100">
        <v>1</v>
      </c>
      <c r="E100">
        <v>1</v>
      </c>
      <c r="F100">
        <v>1</v>
      </c>
      <c r="G100">
        <v>1</v>
      </c>
      <c r="H100">
        <v>1</v>
      </c>
      <c r="I100" t="s">
        <v>471</v>
      </c>
    </row>
    <row r="101" spans="1:9" x14ac:dyDescent="0.3">
      <c r="A101" t="s">
        <v>518</v>
      </c>
      <c r="B101" t="s">
        <v>74</v>
      </c>
      <c r="C101" t="s">
        <v>322</v>
      </c>
      <c r="D101">
        <v>3</v>
      </c>
      <c r="E101">
        <v>3</v>
      </c>
      <c r="F101">
        <v>3</v>
      </c>
      <c r="G101">
        <v>3</v>
      </c>
      <c r="H101">
        <v>1</v>
      </c>
      <c r="I101" t="s">
        <v>471</v>
      </c>
    </row>
    <row r="102" spans="1:9" x14ac:dyDescent="0.3">
      <c r="A102" t="s">
        <v>518</v>
      </c>
      <c r="B102" t="s">
        <v>439</v>
      </c>
      <c r="C102" t="s">
        <v>455</v>
      </c>
      <c r="D102">
        <v>1</v>
      </c>
      <c r="E102">
        <v>1</v>
      </c>
      <c r="F102">
        <v>1</v>
      </c>
      <c r="G102">
        <v>1</v>
      </c>
      <c r="H102">
        <v>1</v>
      </c>
      <c r="I102" t="s">
        <v>471</v>
      </c>
    </row>
    <row r="103" spans="1:9" x14ac:dyDescent="0.3">
      <c r="A103" t="s">
        <v>518</v>
      </c>
      <c r="B103" t="s">
        <v>444</v>
      </c>
      <c r="C103" t="s">
        <v>461</v>
      </c>
      <c r="D103">
        <v>1</v>
      </c>
      <c r="E103">
        <v>1</v>
      </c>
      <c r="F103">
        <v>1</v>
      </c>
      <c r="G103">
        <v>3</v>
      </c>
      <c r="H103">
        <v>2</v>
      </c>
      <c r="I103" t="s">
        <v>471</v>
      </c>
    </row>
    <row r="104" spans="1:9" x14ac:dyDescent="0.3">
      <c r="A104" t="s">
        <v>518</v>
      </c>
      <c r="B104" t="s">
        <v>172</v>
      </c>
      <c r="C104" t="s">
        <v>369</v>
      </c>
      <c r="D104">
        <v>2</v>
      </c>
      <c r="E104">
        <v>3</v>
      </c>
      <c r="F104">
        <v>1</v>
      </c>
      <c r="G104">
        <v>3</v>
      </c>
      <c r="H104">
        <v>2</v>
      </c>
      <c r="I104" t="s">
        <v>471</v>
      </c>
    </row>
    <row r="105" spans="1:9" x14ac:dyDescent="0.3">
      <c r="A105" t="s">
        <v>518</v>
      </c>
      <c r="B105" t="s">
        <v>275</v>
      </c>
      <c r="C105" t="s">
        <v>392</v>
      </c>
      <c r="D105">
        <v>2</v>
      </c>
      <c r="E105">
        <v>3</v>
      </c>
      <c r="F105">
        <v>3</v>
      </c>
      <c r="G105">
        <v>2</v>
      </c>
      <c r="H105">
        <v>2</v>
      </c>
      <c r="I105" t="s">
        <v>471</v>
      </c>
    </row>
    <row r="106" spans="1:9" x14ac:dyDescent="0.3">
      <c r="A106" t="s">
        <v>518</v>
      </c>
      <c r="B106" t="s">
        <v>36</v>
      </c>
      <c r="C106" t="s">
        <v>304</v>
      </c>
      <c r="D106">
        <v>3</v>
      </c>
      <c r="E106">
        <v>3</v>
      </c>
      <c r="F106">
        <v>3</v>
      </c>
      <c r="G106">
        <v>3</v>
      </c>
      <c r="H106">
        <v>2</v>
      </c>
      <c r="I106" t="s">
        <v>469</v>
      </c>
    </row>
    <row r="107" spans="1:9" x14ac:dyDescent="0.3">
      <c r="A107" t="s">
        <v>518</v>
      </c>
      <c r="B107" t="s">
        <v>259</v>
      </c>
      <c r="C107" t="s">
        <v>347</v>
      </c>
      <c r="D107">
        <v>2</v>
      </c>
      <c r="E107">
        <v>1</v>
      </c>
      <c r="F107">
        <v>1</v>
      </c>
      <c r="G107">
        <v>1</v>
      </c>
      <c r="H107">
        <v>2</v>
      </c>
      <c r="I107" t="s">
        <v>469</v>
      </c>
    </row>
    <row r="108" spans="1:9" x14ac:dyDescent="0.3">
      <c r="A108" t="s">
        <v>518</v>
      </c>
      <c r="B108" t="s">
        <v>270</v>
      </c>
      <c r="C108" t="s">
        <v>377</v>
      </c>
      <c r="D108">
        <v>2</v>
      </c>
      <c r="E108">
        <v>3</v>
      </c>
      <c r="F108">
        <v>1</v>
      </c>
      <c r="G108">
        <v>3</v>
      </c>
      <c r="H108">
        <v>2</v>
      </c>
      <c r="I108" t="s">
        <v>469</v>
      </c>
    </row>
    <row r="109" spans="1:9" x14ac:dyDescent="0.3">
      <c r="A109" t="s">
        <v>518</v>
      </c>
      <c r="B109" t="s">
        <v>284</v>
      </c>
      <c r="C109" t="s">
        <v>335</v>
      </c>
      <c r="D109">
        <v>3</v>
      </c>
      <c r="E109">
        <v>1</v>
      </c>
      <c r="F109">
        <v>3</v>
      </c>
      <c r="G109">
        <v>3</v>
      </c>
      <c r="H109">
        <v>2</v>
      </c>
      <c r="I109" t="s">
        <v>469</v>
      </c>
    </row>
    <row r="110" spans="1:9" x14ac:dyDescent="0.3">
      <c r="A110" t="s">
        <v>518</v>
      </c>
      <c r="B110" t="s">
        <v>26</v>
      </c>
      <c r="C110" t="s">
        <v>299</v>
      </c>
      <c r="D110">
        <v>3</v>
      </c>
      <c r="E110">
        <v>3</v>
      </c>
      <c r="F110">
        <v>1</v>
      </c>
      <c r="G110">
        <v>3</v>
      </c>
      <c r="H110">
        <v>2</v>
      </c>
      <c r="I110" t="s">
        <v>469</v>
      </c>
    </row>
    <row r="111" spans="1:9" x14ac:dyDescent="0.3">
      <c r="A111" t="s">
        <v>518</v>
      </c>
      <c r="B111" t="s">
        <v>290</v>
      </c>
      <c r="C111" t="s">
        <v>326</v>
      </c>
      <c r="D111">
        <v>2</v>
      </c>
      <c r="E111">
        <v>1</v>
      </c>
      <c r="F111">
        <v>1</v>
      </c>
      <c r="G111">
        <v>3</v>
      </c>
      <c r="H111">
        <v>1</v>
      </c>
      <c r="I111" t="s">
        <v>469</v>
      </c>
    </row>
    <row r="112" spans="1:9" x14ac:dyDescent="0.3">
      <c r="A112" t="s">
        <v>518</v>
      </c>
      <c r="B112" t="s">
        <v>96</v>
      </c>
      <c r="C112" t="s">
        <v>332</v>
      </c>
      <c r="D112">
        <v>2</v>
      </c>
      <c r="E112">
        <v>3</v>
      </c>
      <c r="F112">
        <v>1</v>
      </c>
      <c r="G112">
        <v>3</v>
      </c>
      <c r="H112">
        <v>1</v>
      </c>
      <c r="I112" t="s">
        <v>469</v>
      </c>
    </row>
    <row r="113" spans="1:9" x14ac:dyDescent="0.3">
      <c r="A113" t="s">
        <v>518</v>
      </c>
      <c r="B113" t="s">
        <v>253</v>
      </c>
      <c r="C113" t="s">
        <v>338</v>
      </c>
      <c r="D113">
        <v>1</v>
      </c>
      <c r="E113">
        <v>3</v>
      </c>
      <c r="F113">
        <v>1</v>
      </c>
      <c r="G113">
        <v>3</v>
      </c>
      <c r="H113">
        <v>1</v>
      </c>
      <c r="I113" t="s">
        <v>469</v>
      </c>
    </row>
    <row r="114" spans="1:9" x14ac:dyDescent="0.3">
      <c r="A114" t="s">
        <v>518</v>
      </c>
      <c r="B114" t="s">
        <v>279</v>
      </c>
      <c r="C114" t="s">
        <v>301</v>
      </c>
      <c r="D114">
        <v>2</v>
      </c>
      <c r="E114">
        <v>1</v>
      </c>
      <c r="F114">
        <v>1</v>
      </c>
      <c r="G114">
        <v>1</v>
      </c>
      <c r="H114">
        <v>1</v>
      </c>
      <c r="I114" t="s">
        <v>469</v>
      </c>
    </row>
    <row r="115" spans="1:9" x14ac:dyDescent="0.3">
      <c r="A115" t="s">
        <v>518</v>
      </c>
      <c r="B115" t="s">
        <v>424</v>
      </c>
      <c r="C115" t="s">
        <v>476</v>
      </c>
      <c r="D115">
        <v>1</v>
      </c>
      <c r="E115">
        <v>1</v>
      </c>
      <c r="F115">
        <v>1</v>
      </c>
      <c r="G115">
        <v>1</v>
      </c>
      <c r="H115">
        <v>1</v>
      </c>
      <c r="I115" t="s">
        <v>469</v>
      </c>
    </row>
    <row r="116" spans="1:9" x14ac:dyDescent="0.3">
      <c r="A116" t="s">
        <v>518</v>
      </c>
      <c r="B116" t="s">
        <v>254</v>
      </c>
      <c r="C116" t="s">
        <v>341</v>
      </c>
      <c r="D116">
        <v>2</v>
      </c>
      <c r="E116">
        <v>3</v>
      </c>
      <c r="F116">
        <v>1</v>
      </c>
      <c r="G116">
        <v>2</v>
      </c>
      <c r="H116">
        <v>1</v>
      </c>
      <c r="I116" t="s">
        <v>469</v>
      </c>
    </row>
    <row r="117" spans="1:9" x14ac:dyDescent="0.3">
      <c r="A117" t="s">
        <v>518</v>
      </c>
      <c r="B117" t="s">
        <v>282</v>
      </c>
      <c r="C117" t="s">
        <v>331</v>
      </c>
      <c r="D117">
        <v>2</v>
      </c>
      <c r="E117">
        <v>3</v>
      </c>
      <c r="F117">
        <v>1</v>
      </c>
      <c r="G117">
        <v>3</v>
      </c>
      <c r="H117">
        <v>1</v>
      </c>
      <c r="I117" t="s">
        <v>469</v>
      </c>
    </row>
    <row r="118" spans="1:9" x14ac:dyDescent="0.3">
      <c r="A118" t="s">
        <v>518</v>
      </c>
      <c r="B118" t="s">
        <v>68</v>
      </c>
      <c r="C118" t="s">
        <v>319</v>
      </c>
      <c r="D118">
        <v>2</v>
      </c>
      <c r="E118">
        <v>3</v>
      </c>
      <c r="F118">
        <v>1</v>
      </c>
      <c r="G118">
        <v>1</v>
      </c>
      <c r="H118">
        <v>2</v>
      </c>
      <c r="I118" t="s">
        <v>469</v>
      </c>
    </row>
    <row r="119" spans="1:9" x14ac:dyDescent="0.3">
      <c r="A119" t="s">
        <v>518</v>
      </c>
      <c r="B119" t="s">
        <v>283</v>
      </c>
      <c r="C119" t="s">
        <v>333</v>
      </c>
      <c r="D119">
        <v>3</v>
      </c>
      <c r="E119">
        <v>3</v>
      </c>
      <c r="F119">
        <v>1</v>
      </c>
      <c r="G119">
        <v>3</v>
      </c>
      <c r="H119">
        <v>1</v>
      </c>
      <c r="I119" t="s">
        <v>469</v>
      </c>
    </row>
    <row r="120" spans="1:9" x14ac:dyDescent="0.3">
      <c r="A120" t="s">
        <v>518</v>
      </c>
      <c r="B120" t="s">
        <v>251</v>
      </c>
      <c r="C120" t="s">
        <v>325</v>
      </c>
      <c r="D120">
        <v>2</v>
      </c>
      <c r="E120">
        <v>3</v>
      </c>
      <c r="F120">
        <v>1</v>
      </c>
      <c r="G120">
        <v>2</v>
      </c>
      <c r="H120">
        <v>1</v>
      </c>
      <c r="I120" t="s">
        <v>469</v>
      </c>
    </row>
    <row r="121" spans="1:9" x14ac:dyDescent="0.3">
      <c r="A121" t="s">
        <v>518</v>
      </c>
      <c r="B121" t="s">
        <v>433</v>
      </c>
      <c r="C121" t="s">
        <v>449</v>
      </c>
      <c r="D121">
        <v>1</v>
      </c>
      <c r="E121">
        <v>1</v>
      </c>
      <c r="F121">
        <v>1</v>
      </c>
      <c r="G121">
        <v>1</v>
      </c>
      <c r="H121">
        <v>1</v>
      </c>
      <c r="I121" t="s">
        <v>469</v>
      </c>
    </row>
    <row r="122" spans="1:9" x14ac:dyDescent="0.3">
      <c r="A122" t="s">
        <v>518</v>
      </c>
      <c r="B122" t="s">
        <v>34</v>
      </c>
      <c r="C122" t="s">
        <v>303</v>
      </c>
      <c r="D122">
        <v>1</v>
      </c>
      <c r="E122">
        <v>3</v>
      </c>
      <c r="F122">
        <v>3</v>
      </c>
      <c r="G122">
        <v>3</v>
      </c>
      <c r="H122">
        <v>2</v>
      </c>
      <c r="I122" t="s">
        <v>469</v>
      </c>
    </row>
    <row r="123" spans="1:9" x14ac:dyDescent="0.3">
      <c r="A123" t="s">
        <v>518</v>
      </c>
      <c r="B123" t="s">
        <v>247</v>
      </c>
      <c r="C123" t="s">
        <v>313</v>
      </c>
      <c r="D123">
        <v>3</v>
      </c>
      <c r="E123">
        <v>3</v>
      </c>
      <c r="F123">
        <v>3</v>
      </c>
      <c r="G123">
        <v>3</v>
      </c>
      <c r="H123">
        <v>2</v>
      </c>
      <c r="I123" t="s">
        <v>469</v>
      </c>
    </row>
    <row r="124" spans="1:9" x14ac:dyDescent="0.3">
      <c r="A124" t="s">
        <v>518</v>
      </c>
      <c r="B124" t="s">
        <v>24</v>
      </c>
      <c r="C124" t="s">
        <v>298</v>
      </c>
      <c r="D124">
        <v>1</v>
      </c>
      <c r="E124">
        <v>1</v>
      </c>
      <c r="F124">
        <v>2</v>
      </c>
      <c r="G124">
        <v>3</v>
      </c>
      <c r="H124">
        <v>1</v>
      </c>
      <c r="I124" t="s">
        <v>469</v>
      </c>
    </row>
    <row r="125" spans="1:9" x14ac:dyDescent="0.3">
      <c r="A125" t="s">
        <v>518</v>
      </c>
      <c r="B125" t="s">
        <v>204</v>
      </c>
      <c r="C125" t="s">
        <v>385</v>
      </c>
      <c r="D125">
        <v>2</v>
      </c>
      <c r="E125">
        <v>3</v>
      </c>
      <c r="F125">
        <v>1</v>
      </c>
      <c r="G125">
        <v>3</v>
      </c>
      <c r="H125">
        <v>1</v>
      </c>
      <c r="I125" t="s">
        <v>469</v>
      </c>
    </row>
    <row r="126" spans="1:9" x14ac:dyDescent="0.3">
      <c r="A126" t="s">
        <v>518</v>
      </c>
      <c r="B126" t="s">
        <v>267</v>
      </c>
      <c r="C126" t="s">
        <v>373</v>
      </c>
      <c r="D126">
        <v>1</v>
      </c>
      <c r="E126">
        <v>3</v>
      </c>
      <c r="F126">
        <v>1</v>
      </c>
      <c r="G126">
        <v>1</v>
      </c>
      <c r="H126">
        <v>2</v>
      </c>
      <c r="I126" t="s">
        <v>469</v>
      </c>
    </row>
    <row r="127" spans="1:9" x14ac:dyDescent="0.3">
      <c r="A127" t="s">
        <v>518</v>
      </c>
      <c r="B127" t="s">
        <v>261</v>
      </c>
      <c r="C127" t="s">
        <v>353</v>
      </c>
      <c r="D127">
        <v>2</v>
      </c>
      <c r="E127">
        <v>3</v>
      </c>
      <c r="F127">
        <v>1</v>
      </c>
      <c r="G127">
        <v>1</v>
      </c>
      <c r="H127">
        <v>1</v>
      </c>
      <c r="I127" t="s">
        <v>469</v>
      </c>
    </row>
    <row r="128" spans="1:9" x14ac:dyDescent="0.3">
      <c r="A128" t="s">
        <v>518</v>
      </c>
      <c r="B128" t="s">
        <v>104</v>
      </c>
      <c r="C128" t="s">
        <v>336</v>
      </c>
      <c r="D128">
        <v>2</v>
      </c>
      <c r="E128">
        <v>2</v>
      </c>
      <c r="F128">
        <v>1</v>
      </c>
      <c r="G128">
        <v>1</v>
      </c>
      <c r="H128">
        <v>1</v>
      </c>
      <c r="I128" t="s">
        <v>469</v>
      </c>
    </row>
    <row r="129" spans="1:9" x14ac:dyDescent="0.3">
      <c r="A129" t="s">
        <v>518</v>
      </c>
      <c r="B129" t="s">
        <v>406</v>
      </c>
      <c r="C129" t="s">
        <v>479</v>
      </c>
      <c r="D129">
        <v>1</v>
      </c>
      <c r="E129">
        <v>1</v>
      </c>
      <c r="F129">
        <v>1</v>
      </c>
      <c r="G129">
        <v>1</v>
      </c>
      <c r="H129">
        <v>1</v>
      </c>
      <c r="I129" t="s">
        <v>469</v>
      </c>
    </row>
    <row r="130" spans="1:9" x14ac:dyDescent="0.3">
      <c r="A130" t="s">
        <v>518</v>
      </c>
      <c r="B130" t="s">
        <v>257</v>
      </c>
      <c r="C130" t="s">
        <v>345</v>
      </c>
      <c r="D130" t="s">
        <v>16</v>
      </c>
      <c r="E130">
        <v>3</v>
      </c>
      <c r="F130">
        <v>1</v>
      </c>
      <c r="G130">
        <v>3</v>
      </c>
      <c r="H130">
        <v>1</v>
      </c>
      <c r="I130" t="s">
        <v>469</v>
      </c>
    </row>
    <row r="131" spans="1:9" x14ac:dyDescent="0.3">
      <c r="A131" t="s">
        <v>518</v>
      </c>
      <c r="B131" t="s">
        <v>417</v>
      </c>
      <c r="C131" t="s">
        <v>481</v>
      </c>
      <c r="D131">
        <v>1</v>
      </c>
      <c r="E131">
        <v>1</v>
      </c>
      <c r="F131">
        <v>1</v>
      </c>
      <c r="G131">
        <v>1</v>
      </c>
      <c r="H131">
        <v>1</v>
      </c>
      <c r="I131" t="s">
        <v>469</v>
      </c>
    </row>
    <row r="132" spans="1:9" x14ac:dyDescent="0.3">
      <c r="A132" t="s">
        <v>518</v>
      </c>
      <c r="B132" t="s">
        <v>425</v>
      </c>
      <c r="C132" t="s">
        <v>482</v>
      </c>
      <c r="D132">
        <v>1</v>
      </c>
      <c r="E132">
        <v>1</v>
      </c>
      <c r="F132">
        <v>1</v>
      </c>
      <c r="G132">
        <v>1</v>
      </c>
      <c r="H132">
        <v>1</v>
      </c>
      <c r="I132" t="s">
        <v>469</v>
      </c>
    </row>
    <row r="133" spans="1:9" x14ac:dyDescent="0.3">
      <c r="A133" t="s">
        <v>518</v>
      </c>
      <c r="B133" t="s">
        <v>142</v>
      </c>
      <c r="C133" t="s">
        <v>354</v>
      </c>
      <c r="D133">
        <v>3</v>
      </c>
      <c r="E133">
        <v>3</v>
      </c>
      <c r="F133">
        <v>1</v>
      </c>
      <c r="G133">
        <v>3</v>
      </c>
      <c r="H133">
        <v>2</v>
      </c>
      <c r="I133" t="s">
        <v>469</v>
      </c>
    </row>
    <row r="134" spans="1:9" x14ac:dyDescent="0.3">
      <c r="A134" t="s">
        <v>518</v>
      </c>
      <c r="B134" t="s">
        <v>435</v>
      </c>
      <c r="C134" t="s">
        <v>451</v>
      </c>
      <c r="D134">
        <v>1</v>
      </c>
      <c r="E134">
        <v>1</v>
      </c>
      <c r="F134">
        <v>1</v>
      </c>
      <c r="G134">
        <v>1</v>
      </c>
      <c r="H134">
        <v>1</v>
      </c>
      <c r="I134" t="s">
        <v>469</v>
      </c>
    </row>
    <row r="135" spans="1:9" x14ac:dyDescent="0.3">
      <c r="A135" t="s">
        <v>518</v>
      </c>
      <c r="B135" t="s">
        <v>271</v>
      </c>
      <c r="C135" t="s">
        <v>378</v>
      </c>
      <c r="D135">
        <v>2</v>
      </c>
      <c r="E135">
        <v>3</v>
      </c>
      <c r="F135">
        <v>1</v>
      </c>
      <c r="G135">
        <v>2</v>
      </c>
      <c r="H135">
        <v>1</v>
      </c>
      <c r="I135" t="s">
        <v>469</v>
      </c>
    </row>
    <row r="136" spans="1:9" x14ac:dyDescent="0.3">
      <c r="A136" t="s">
        <v>518</v>
      </c>
      <c r="B136" t="s">
        <v>404</v>
      </c>
      <c r="C136" t="s">
        <v>484</v>
      </c>
      <c r="D136">
        <v>1</v>
      </c>
      <c r="E136">
        <v>1</v>
      </c>
      <c r="F136">
        <v>1</v>
      </c>
      <c r="G136">
        <v>1</v>
      </c>
      <c r="H136">
        <v>1</v>
      </c>
      <c r="I136" t="s">
        <v>469</v>
      </c>
    </row>
    <row r="137" spans="1:9" x14ac:dyDescent="0.3">
      <c r="A137" t="s">
        <v>518</v>
      </c>
      <c r="B137" t="s">
        <v>245</v>
      </c>
      <c r="C137" t="s">
        <v>310</v>
      </c>
      <c r="D137">
        <v>2</v>
      </c>
      <c r="E137">
        <v>3</v>
      </c>
      <c r="F137">
        <v>2</v>
      </c>
      <c r="G137">
        <v>2</v>
      </c>
      <c r="H137">
        <v>2</v>
      </c>
      <c r="I137" t="s">
        <v>469</v>
      </c>
    </row>
    <row r="138" spans="1:9" x14ac:dyDescent="0.3">
      <c r="A138" t="s">
        <v>518</v>
      </c>
      <c r="B138" t="s">
        <v>412</v>
      </c>
      <c r="C138" t="s">
        <v>485</v>
      </c>
      <c r="D138">
        <v>1</v>
      </c>
      <c r="E138">
        <v>1</v>
      </c>
      <c r="F138">
        <v>1</v>
      </c>
      <c r="G138">
        <v>1</v>
      </c>
      <c r="H138">
        <v>1</v>
      </c>
      <c r="I138" t="s">
        <v>469</v>
      </c>
    </row>
    <row r="139" spans="1:9" x14ac:dyDescent="0.3">
      <c r="A139" t="s">
        <v>518</v>
      </c>
      <c r="B139" t="s">
        <v>40</v>
      </c>
      <c r="C139" t="s">
        <v>306</v>
      </c>
      <c r="D139">
        <v>1</v>
      </c>
      <c r="E139">
        <v>3</v>
      </c>
      <c r="F139">
        <v>1</v>
      </c>
      <c r="G139">
        <v>2</v>
      </c>
      <c r="H139">
        <v>2</v>
      </c>
      <c r="I139" t="s">
        <v>469</v>
      </c>
    </row>
    <row r="140" spans="1:9" x14ac:dyDescent="0.3">
      <c r="A140" t="s">
        <v>518</v>
      </c>
      <c r="B140" t="s">
        <v>436</v>
      </c>
      <c r="C140" t="s">
        <v>452</v>
      </c>
      <c r="D140">
        <v>3</v>
      </c>
      <c r="E140">
        <v>3</v>
      </c>
      <c r="F140">
        <v>3</v>
      </c>
      <c r="G140">
        <v>3</v>
      </c>
      <c r="H140">
        <v>1</v>
      </c>
      <c r="I140" t="s">
        <v>469</v>
      </c>
    </row>
    <row r="141" spans="1:9" x14ac:dyDescent="0.3">
      <c r="A141" t="s">
        <v>518</v>
      </c>
      <c r="B141" t="s">
        <v>256</v>
      </c>
      <c r="C141" t="s">
        <v>344</v>
      </c>
      <c r="D141">
        <v>3</v>
      </c>
      <c r="E141">
        <v>3</v>
      </c>
      <c r="F141">
        <v>3</v>
      </c>
      <c r="G141">
        <v>2</v>
      </c>
      <c r="H141">
        <v>2</v>
      </c>
      <c r="I141" t="s">
        <v>469</v>
      </c>
    </row>
    <row r="142" spans="1:9" x14ac:dyDescent="0.3">
      <c r="A142" t="s">
        <v>518</v>
      </c>
      <c r="B142" t="s">
        <v>426</v>
      </c>
      <c r="C142" t="s">
        <v>488</v>
      </c>
      <c r="D142">
        <v>1</v>
      </c>
      <c r="E142">
        <v>1</v>
      </c>
      <c r="F142">
        <v>1</v>
      </c>
      <c r="G142">
        <v>1</v>
      </c>
      <c r="H142">
        <v>1</v>
      </c>
      <c r="I142" t="s">
        <v>469</v>
      </c>
    </row>
    <row r="143" spans="1:9" x14ac:dyDescent="0.3">
      <c r="A143" t="s">
        <v>518</v>
      </c>
      <c r="B143" t="s">
        <v>32</v>
      </c>
      <c r="C143" t="s">
        <v>302</v>
      </c>
      <c r="D143">
        <v>2</v>
      </c>
      <c r="E143">
        <v>3</v>
      </c>
      <c r="F143">
        <v>3</v>
      </c>
      <c r="G143">
        <v>3</v>
      </c>
      <c r="H143">
        <v>2</v>
      </c>
      <c r="I143" t="s">
        <v>469</v>
      </c>
    </row>
    <row r="144" spans="1:9" x14ac:dyDescent="0.3">
      <c r="A144" t="s">
        <v>518</v>
      </c>
      <c r="B144" t="s">
        <v>441</v>
      </c>
      <c r="C144" t="s">
        <v>457</v>
      </c>
      <c r="D144">
        <v>1</v>
      </c>
      <c r="E144">
        <v>1</v>
      </c>
      <c r="F144">
        <v>1</v>
      </c>
      <c r="G144">
        <v>1</v>
      </c>
      <c r="H144">
        <v>1</v>
      </c>
      <c r="I144" t="s">
        <v>469</v>
      </c>
    </row>
    <row r="145" spans="1:9" x14ac:dyDescent="0.3">
      <c r="A145" t="s">
        <v>518</v>
      </c>
      <c r="B145" t="s">
        <v>200</v>
      </c>
      <c r="C145" t="s">
        <v>383</v>
      </c>
      <c r="D145">
        <v>2</v>
      </c>
      <c r="E145">
        <v>3</v>
      </c>
      <c r="F145">
        <v>1</v>
      </c>
      <c r="G145">
        <v>1</v>
      </c>
      <c r="H145">
        <v>1</v>
      </c>
      <c r="I145" t="s">
        <v>469</v>
      </c>
    </row>
    <row r="146" spans="1:9" x14ac:dyDescent="0.3">
      <c r="A146" t="s">
        <v>518</v>
      </c>
      <c r="B146" t="s">
        <v>200</v>
      </c>
      <c r="C146" t="s">
        <v>383</v>
      </c>
      <c r="D146">
        <v>1</v>
      </c>
      <c r="E146">
        <v>1</v>
      </c>
      <c r="F146">
        <v>1</v>
      </c>
      <c r="G146">
        <v>1</v>
      </c>
      <c r="H146">
        <v>1</v>
      </c>
      <c r="I146" t="s">
        <v>469</v>
      </c>
    </row>
    <row r="147" spans="1:9" x14ac:dyDescent="0.3">
      <c r="A147" t="s">
        <v>518</v>
      </c>
      <c r="B147" t="s">
        <v>70</v>
      </c>
      <c r="C147" t="s">
        <v>320</v>
      </c>
      <c r="D147">
        <v>2</v>
      </c>
      <c r="E147">
        <v>1</v>
      </c>
      <c r="F147">
        <v>1</v>
      </c>
      <c r="G147">
        <v>1</v>
      </c>
      <c r="H147">
        <v>2</v>
      </c>
      <c r="I147" t="s">
        <v>469</v>
      </c>
    </row>
    <row r="148" spans="1:9" x14ac:dyDescent="0.3">
      <c r="A148" t="s">
        <v>518</v>
      </c>
      <c r="B148" t="s">
        <v>174</v>
      </c>
      <c r="C148" t="s">
        <v>370</v>
      </c>
      <c r="D148">
        <v>3</v>
      </c>
      <c r="E148">
        <v>3</v>
      </c>
      <c r="F148">
        <v>3</v>
      </c>
      <c r="G148">
        <v>3</v>
      </c>
      <c r="H148">
        <v>1</v>
      </c>
      <c r="I148" t="s">
        <v>469</v>
      </c>
    </row>
    <row r="149" spans="1:9" x14ac:dyDescent="0.3">
      <c r="A149" t="s">
        <v>518</v>
      </c>
      <c r="B149" t="s">
        <v>241</v>
      </c>
      <c r="C149" t="s">
        <v>334</v>
      </c>
      <c r="D149">
        <v>2</v>
      </c>
      <c r="E149">
        <v>2</v>
      </c>
      <c r="F149">
        <v>3</v>
      </c>
      <c r="G149">
        <v>3</v>
      </c>
      <c r="H149">
        <v>1</v>
      </c>
      <c r="I149" t="s">
        <v>469</v>
      </c>
    </row>
    <row r="150" spans="1:9" x14ac:dyDescent="0.3">
      <c r="A150" t="s">
        <v>518</v>
      </c>
      <c r="B150" t="s">
        <v>246</v>
      </c>
      <c r="C150" t="s">
        <v>311</v>
      </c>
      <c r="D150">
        <v>3</v>
      </c>
      <c r="E150">
        <v>3</v>
      </c>
      <c r="F150">
        <v>1</v>
      </c>
      <c r="G150">
        <v>3</v>
      </c>
      <c r="H150">
        <v>1</v>
      </c>
      <c r="I150" t="s">
        <v>469</v>
      </c>
    </row>
    <row r="151" spans="1:9" x14ac:dyDescent="0.3">
      <c r="A151" t="s">
        <v>518</v>
      </c>
      <c r="B151" t="s">
        <v>112</v>
      </c>
      <c r="C151" t="s">
        <v>340</v>
      </c>
      <c r="D151">
        <v>2</v>
      </c>
      <c r="E151">
        <v>3</v>
      </c>
      <c r="F151">
        <v>1</v>
      </c>
      <c r="G151">
        <v>1</v>
      </c>
      <c r="H151">
        <v>1</v>
      </c>
      <c r="I151" t="s">
        <v>469</v>
      </c>
    </row>
    <row r="152" spans="1:9" x14ac:dyDescent="0.3">
      <c r="A152" t="s">
        <v>518</v>
      </c>
      <c r="B152" t="s">
        <v>428</v>
      </c>
      <c r="C152" t="s">
        <v>496</v>
      </c>
      <c r="D152">
        <v>1</v>
      </c>
      <c r="E152">
        <v>1</v>
      </c>
      <c r="F152">
        <v>1</v>
      </c>
      <c r="G152">
        <v>1</v>
      </c>
      <c r="H152">
        <v>1</v>
      </c>
      <c r="I152" t="s">
        <v>469</v>
      </c>
    </row>
    <row r="153" spans="1:9" x14ac:dyDescent="0.3">
      <c r="A153" t="s">
        <v>518</v>
      </c>
      <c r="B153" t="s">
        <v>242</v>
      </c>
      <c r="C153" t="s">
        <v>399</v>
      </c>
      <c r="D153">
        <v>2</v>
      </c>
      <c r="E153">
        <v>1</v>
      </c>
      <c r="F153">
        <v>2</v>
      </c>
      <c r="G153">
        <v>2</v>
      </c>
      <c r="H153">
        <v>1</v>
      </c>
      <c r="I153" t="s">
        <v>469</v>
      </c>
    </row>
    <row r="154" spans="1:9" x14ac:dyDescent="0.3">
      <c r="A154" t="s">
        <v>518</v>
      </c>
      <c r="B154" t="s">
        <v>269</v>
      </c>
      <c r="C154" t="s">
        <v>376</v>
      </c>
      <c r="D154">
        <v>2</v>
      </c>
      <c r="E154">
        <v>3</v>
      </c>
      <c r="F154">
        <v>1</v>
      </c>
      <c r="G154">
        <v>1</v>
      </c>
      <c r="H154">
        <v>2</v>
      </c>
      <c r="I154" t="s">
        <v>469</v>
      </c>
    </row>
    <row r="155" spans="1:9" x14ac:dyDescent="0.3">
      <c r="A155" t="s">
        <v>518</v>
      </c>
      <c r="B155" t="s">
        <v>268</v>
      </c>
      <c r="C155" t="s">
        <v>374</v>
      </c>
      <c r="D155">
        <v>2</v>
      </c>
      <c r="E155">
        <v>2</v>
      </c>
      <c r="F155">
        <v>1</v>
      </c>
      <c r="G155">
        <v>2</v>
      </c>
      <c r="H155">
        <v>1</v>
      </c>
      <c r="I155" t="s">
        <v>469</v>
      </c>
    </row>
    <row r="156" spans="1:9" x14ac:dyDescent="0.3">
      <c r="A156" t="s">
        <v>518</v>
      </c>
      <c r="B156" t="s">
        <v>435</v>
      </c>
      <c r="C156" t="s">
        <v>462</v>
      </c>
      <c r="D156">
        <v>3</v>
      </c>
      <c r="E156">
        <v>3</v>
      </c>
      <c r="F156">
        <v>3</v>
      </c>
      <c r="G156">
        <v>3</v>
      </c>
      <c r="H156">
        <v>1</v>
      </c>
      <c r="I156" t="s">
        <v>469</v>
      </c>
    </row>
    <row r="157" spans="1:9" x14ac:dyDescent="0.3">
      <c r="A157" t="s">
        <v>518</v>
      </c>
      <c r="B157" t="s">
        <v>130</v>
      </c>
      <c r="C157" t="s">
        <v>349</v>
      </c>
      <c r="D157">
        <v>2</v>
      </c>
      <c r="E157">
        <v>1</v>
      </c>
      <c r="F157">
        <v>1</v>
      </c>
      <c r="G157">
        <v>1</v>
      </c>
      <c r="H157">
        <v>2</v>
      </c>
      <c r="I157" t="s">
        <v>469</v>
      </c>
    </row>
    <row r="158" spans="1:9" x14ac:dyDescent="0.3">
      <c r="A158" t="s">
        <v>518</v>
      </c>
      <c r="B158" t="s">
        <v>410</v>
      </c>
      <c r="C158" t="s">
        <v>498</v>
      </c>
      <c r="D158">
        <v>1</v>
      </c>
      <c r="E158">
        <v>1</v>
      </c>
      <c r="F158">
        <v>1</v>
      </c>
      <c r="G158">
        <v>1</v>
      </c>
      <c r="H158">
        <v>1</v>
      </c>
      <c r="I158" t="s">
        <v>469</v>
      </c>
    </row>
    <row r="159" spans="1:9" x14ac:dyDescent="0.3">
      <c r="A159" t="s">
        <v>518</v>
      </c>
      <c r="B159" t="s">
        <v>445</v>
      </c>
      <c r="C159" t="s">
        <v>463</v>
      </c>
      <c r="D159">
        <v>3</v>
      </c>
      <c r="E159">
        <v>3</v>
      </c>
      <c r="F159">
        <v>3</v>
      </c>
      <c r="G159">
        <v>3</v>
      </c>
      <c r="H159">
        <v>1</v>
      </c>
      <c r="I159" t="s">
        <v>469</v>
      </c>
    </row>
    <row r="160" spans="1:9" x14ac:dyDescent="0.3">
      <c r="A160" t="s">
        <v>518</v>
      </c>
      <c r="B160" t="s">
        <v>407</v>
      </c>
      <c r="C160" t="s">
        <v>499</v>
      </c>
      <c r="D160">
        <v>1</v>
      </c>
      <c r="E160">
        <v>1</v>
      </c>
      <c r="F160">
        <v>1</v>
      </c>
      <c r="G160">
        <v>1</v>
      </c>
      <c r="H160">
        <v>1</v>
      </c>
      <c r="I160" t="s">
        <v>469</v>
      </c>
    </row>
    <row r="161" spans="1:9" x14ac:dyDescent="0.3">
      <c r="A161" t="s">
        <v>518</v>
      </c>
      <c r="B161" t="s">
        <v>413</v>
      </c>
      <c r="C161" t="s">
        <v>501</v>
      </c>
      <c r="D161">
        <v>1</v>
      </c>
      <c r="E161">
        <v>1</v>
      </c>
      <c r="F161">
        <v>1</v>
      </c>
      <c r="G161">
        <v>1</v>
      </c>
      <c r="H161">
        <v>1</v>
      </c>
      <c r="I161" t="s">
        <v>469</v>
      </c>
    </row>
    <row r="162" spans="1:9" x14ac:dyDescent="0.3">
      <c r="A162" t="s">
        <v>518</v>
      </c>
      <c r="B162" t="s">
        <v>234</v>
      </c>
      <c r="C162" t="s">
        <v>400</v>
      </c>
      <c r="D162">
        <v>2</v>
      </c>
      <c r="E162">
        <v>1</v>
      </c>
      <c r="F162">
        <v>1</v>
      </c>
      <c r="G162">
        <v>1</v>
      </c>
      <c r="H162">
        <v>2</v>
      </c>
      <c r="I162" t="s">
        <v>469</v>
      </c>
    </row>
  </sheetData>
  <autoFilter ref="A1:I162" xr:uid="{E0981C4E-7291-4C62-B16D-01F0C697DDC6}"/>
  <sortState xmlns:xlrd2="http://schemas.microsoft.com/office/spreadsheetml/2017/richdata2" ref="A2:I162">
    <sortCondition ref="A2:A162"/>
    <sortCondition ref="I2:I162"/>
    <sortCondition ref="C2:C162"/>
  </sortState>
  <pageMargins left="0.70866141732283472" right="0.70866141732283472" top="0.74803149606299213" bottom="0.74803149606299213" header="0.31496062992125984" footer="0.31496062992125984"/>
  <pageSetup scale="88" fitToHeight="6" orientation="landscape" verticalDpi="0" r:id="rId1"/>
  <headerFooter>
    <oddFooter>&amp;C&amp;A // &amp;F&amp;R&amp;P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F2DA-D334-4045-AFDD-0CEEE7006627}">
  <dimension ref="A1:I166"/>
  <sheetViews>
    <sheetView workbookViewId="0">
      <selection activeCell="K8" sqref="K8"/>
    </sheetView>
  </sheetViews>
  <sheetFormatPr baseColWidth="10" defaultRowHeight="14.4" x14ac:dyDescent="0.3"/>
  <cols>
    <col min="1" max="1" width="13" bestFit="1" customWidth="1"/>
    <col min="2" max="2" width="10.6640625" bestFit="1" customWidth="1"/>
    <col min="3" max="3" width="42.88671875" bestFit="1" customWidth="1"/>
    <col min="4" max="4" width="11.44140625" customWidth="1"/>
    <col min="5" max="5" width="13.109375" customWidth="1"/>
    <col min="6" max="7" width="13.21875" customWidth="1"/>
    <col min="8" max="8" width="11.44140625" customWidth="1"/>
    <col min="9" max="9" width="9.33203125" bestFit="1" customWidth="1"/>
  </cols>
  <sheetData>
    <row r="1" spans="1:9" x14ac:dyDescent="0.3">
      <c r="A1" t="s">
        <v>0</v>
      </c>
      <c r="B1" t="s">
        <v>472</v>
      </c>
      <c r="C1" t="s">
        <v>6</v>
      </c>
      <c r="D1" s="6">
        <v>46076</v>
      </c>
      <c r="E1" s="6">
        <v>46077</v>
      </c>
      <c r="F1" s="6">
        <v>46078</v>
      </c>
      <c r="G1" s="6">
        <v>46079</v>
      </c>
      <c r="H1" s="6">
        <v>46080</v>
      </c>
      <c r="I1" t="s">
        <v>516</v>
      </c>
    </row>
    <row r="2" spans="1:9" ht="86.4" x14ac:dyDescent="0.3">
      <c r="D2" s="8" t="s">
        <v>502</v>
      </c>
      <c r="E2" s="8" t="s">
        <v>505</v>
      </c>
      <c r="F2" s="8" t="s">
        <v>508</v>
      </c>
      <c r="G2" s="8" t="s">
        <v>511</v>
      </c>
      <c r="H2" s="8" t="s">
        <v>514</v>
      </c>
    </row>
    <row r="3" spans="1:9" ht="86.4" x14ac:dyDescent="0.3">
      <c r="D3" s="8" t="s">
        <v>503</v>
      </c>
      <c r="E3" s="8" t="s">
        <v>506</v>
      </c>
      <c r="F3" s="8" t="s">
        <v>509</v>
      </c>
      <c r="G3" s="8" t="s">
        <v>512</v>
      </c>
      <c r="H3" s="8" t="s">
        <v>515</v>
      </c>
    </row>
    <row r="4" spans="1:9" ht="115.2" x14ac:dyDescent="0.3">
      <c r="D4" s="8" t="s">
        <v>504</v>
      </c>
      <c r="E4" s="8" t="s">
        <v>507</v>
      </c>
      <c r="F4" s="8" t="s">
        <v>510</v>
      </c>
      <c r="G4" s="8" t="s">
        <v>513</v>
      </c>
      <c r="H4" s="8"/>
    </row>
    <row r="5" spans="1:9" x14ac:dyDescent="0.3">
      <c r="D5" s="6"/>
      <c r="E5" s="6"/>
      <c r="F5" s="6"/>
      <c r="G5" s="6"/>
      <c r="H5" s="6"/>
    </row>
    <row r="6" spans="1:9" x14ac:dyDescent="0.3">
      <c r="A6" t="s">
        <v>517</v>
      </c>
      <c r="B6" t="s">
        <v>46</v>
      </c>
      <c r="C6" t="s">
        <v>309</v>
      </c>
      <c r="D6">
        <v>2</v>
      </c>
      <c r="E6">
        <v>3</v>
      </c>
      <c r="F6">
        <v>1</v>
      </c>
      <c r="G6">
        <v>1</v>
      </c>
      <c r="H6">
        <v>1</v>
      </c>
      <c r="I6" t="s">
        <v>468</v>
      </c>
    </row>
    <row r="7" spans="1:9" x14ac:dyDescent="0.3">
      <c r="A7" t="s">
        <v>517</v>
      </c>
      <c r="B7" t="s">
        <v>88</v>
      </c>
      <c r="C7" t="s">
        <v>329</v>
      </c>
      <c r="D7">
        <v>2</v>
      </c>
      <c r="E7">
        <v>3</v>
      </c>
      <c r="F7">
        <v>3</v>
      </c>
      <c r="G7">
        <v>3</v>
      </c>
      <c r="H7">
        <v>2</v>
      </c>
      <c r="I7" t="s">
        <v>468</v>
      </c>
    </row>
    <row r="8" spans="1:9" x14ac:dyDescent="0.3">
      <c r="A8" t="s">
        <v>517</v>
      </c>
      <c r="B8" t="s">
        <v>416</v>
      </c>
      <c r="C8" t="s">
        <v>474</v>
      </c>
      <c r="D8">
        <v>1</v>
      </c>
      <c r="E8">
        <v>1</v>
      </c>
      <c r="F8">
        <v>1</v>
      </c>
      <c r="G8">
        <v>1</v>
      </c>
      <c r="H8">
        <v>1</v>
      </c>
      <c r="I8" t="s">
        <v>468</v>
      </c>
    </row>
    <row r="9" spans="1:9" x14ac:dyDescent="0.3">
      <c r="A9" t="s">
        <v>517</v>
      </c>
      <c r="B9" t="s">
        <v>128</v>
      </c>
      <c r="C9" t="s">
        <v>348</v>
      </c>
      <c r="D9">
        <v>2</v>
      </c>
      <c r="E9">
        <v>1</v>
      </c>
      <c r="F9">
        <v>1</v>
      </c>
      <c r="G9">
        <v>1</v>
      </c>
      <c r="H9">
        <v>1</v>
      </c>
      <c r="I9" t="s">
        <v>468</v>
      </c>
    </row>
    <row r="10" spans="1:9" x14ac:dyDescent="0.3">
      <c r="A10" t="s">
        <v>517</v>
      </c>
      <c r="B10" t="s">
        <v>289</v>
      </c>
      <c r="C10" t="s">
        <v>342</v>
      </c>
      <c r="D10">
        <v>2</v>
      </c>
      <c r="E10">
        <v>3</v>
      </c>
      <c r="F10">
        <v>3</v>
      </c>
      <c r="G10">
        <v>3</v>
      </c>
      <c r="H10">
        <v>1</v>
      </c>
      <c r="I10" t="s">
        <v>468</v>
      </c>
    </row>
    <row r="11" spans="1:9" x14ac:dyDescent="0.3">
      <c r="A11" t="s">
        <v>517</v>
      </c>
      <c r="B11" t="s">
        <v>168</v>
      </c>
      <c r="C11" t="s">
        <v>367</v>
      </c>
      <c r="D11">
        <v>2</v>
      </c>
      <c r="E11">
        <v>3</v>
      </c>
      <c r="F11">
        <v>1</v>
      </c>
      <c r="G11">
        <v>1</v>
      </c>
      <c r="H11">
        <v>2</v>
      </c>
      <c r="I11" t="s">
        <v>468</v>
      </c>
    </row>
    <row r="12" spans="1:9" x14ac:dyDescent="0.3">
      <c r="A12" t="s">
        <v>517</v>
      </c>
      <c r="B12" t="s">
        <v>92</v>
      </c>
      <c r="C12" t="s">
        <v>330</v>
      </c>
      <c r="D12">
        <v>2</v>
      </c>
      <c r="E12">
        <v>3</v>
      </c>
      <c r="F12">
        <v>1</v>
      </c>
      <c r="G12">
        <v>1</v>
      </c>
      <c r="H12">
        <v>1</v>
      </c>
      <c r="I12" t="s">
        <v>468</v>
      </c>
    </row>
    <row r="13" spans="1:9" x14ac:dyDescent="0.3">
      <c r="A13" t="s">
        <v>517</v>
      </c>
      <c r="B13" t="s">
        <v>160</v>
      </c>
      <c r="C13" t="s">
        <v>363</v>
      </c>
      <c r="D13">
        <v>2</v>
      </c>
      <c r="E13">
        <v>3</v>
      </c>
      <c r="F13">
        <v>1</v>
      </c>
      <c r="G13">
        <v>3</v>
      </c>
      <c r="H13">
        <v>2</v>
      </c>
      <c r="I13" t="s">
        <v>468</v>
      </c>
    </row>
    <row r="14" spans="1:9" x14ac:dyDescent="0.3">
      <c r="A14" t="s">
        <v>517</v>
      </c>
      <c r="B14" t="s">
        <v>160</v>
      </c>
      <c r="C14" t="s">
        <v>363</v>
      </c>
      <c r="D14">
        <v>2</v>
      </c>
      <c r="E14">
        <v>3</v>
      </c>
      <c r="F14">
        <v>1</v>
      </c>
      <c r="G14">
        <v>3</v>
      </c>
      <c r="H14">
        <v>2</v>
      </c>
      <c r="I14" t="s">
        <v>468</v>
      </c>
    </row>
    <row r="15" spans="1:9" x14ac:dyDescent="0.3">
      <c r="A15" t="s">
        <v>517</v>
      </c>
      <c r="B15" t="s">
        <v>228</v>
      </c>
      <c r="C15" t="s">
        <v>397</v>
      </c>
      <c r="D15">
        <v>2</v>
      </c>
      <c r="E15">
        <v>3</v>
      </c>
      <c r="F15">
        <v>1</v>
      </c>
      <c r="G15">
        <v>2</v>
      </c>
      <c r="H15">
        <v>1</v>
      </c>
      <c r="I15" t="s">
        <v>468</v>
      </c>
    </row>
    <row r="16" spans="1:9" x14ac:dyDescent="0.3">
      <c r="A16" t="s">
        <v>517</v>
      </c>
      <c r="B16" t="s">
        <v>178</v>
      </c>
      <c r="C16" t="s">
        <v>372</v>
      </c>
      <c r="D16">
        <v>2</v>
      </c>
      <c r="E16">
        <v>1</v>
      </c>
      <c r="F16">
        <v>2</v>
      </c>
      <c r="G16">
        <v>1</v>
      </c>
      <c r="H16">
        <v>1</v>
      </c>
      <c r="I16" t="s">
        <v>468</v>
      </c>
    </row>
    <row r="17" spans="1:9" x14ac:dyDescent="0.3">
      <c r="A17" t="s">
        <v>517</v>
      </c>
      <c r="B17" t="s">
        <v>419</v>
      </c>
      <c r="C17" t="s">
        <v>477</v>
      </c>
      <c r="D17">
        <v>1</v>
      </c>
      <c r="E17">
        <v>1</v>
      </c>
      <c r="F17">
        <v>1</v>
      </c>
      <c r="G17">
        <v>1</v>
      </c>
      <c r="H17">
        <v>1</v>
      </c>
      <c r="I17" t="s">
        <v>468</v>
      </c>
    </row>
    <row r="18" spans="1:9" x14ac:dyDescent="0.3">
      <c r="A18" t="s">
        <v>517</v>
      </c>
      <c r="B18" t="s">
        <v>432</v>
      </c>
      <c r="C18" t="s">
        <v>448</v>
      </c>
      <c r="D18">
        <v>1</v>
      </c>
      <c r="E18">
        <v>1</v>
      </c>
      <c r="F18">
        <v>1</v>
      </c>
      <c r="G18">
        <v>1</v>
      </c>
      <c r="H18">
        <v>1</v>
      </c>
      <c r="I18" t="s">
        <v>468</v>
      </c>
    </row>
    <row r="19" spans="1:9" x14ac:dyDescent="0.3">
      <c r="A19" t="s">
        <v>517</v>
      </c>
      <c r="B19" t="s">
        <v>156</v>
      </c>
      <c r="C19" t="s">
        <v>361</v>
      </c>
      <c r="D19">
        <v>2</v>
      </c>
      <c r="E19">
        <v>3</v>
      </c>
      <c r="F19">
        <v>1</v>
      </c>
      <c r="G19">
        <v>2</v>
      </c>
      <c r="H19">
        <v>2</v>
      </c>
      <c r="I19" t="s">
        <v>468</v>
      </c>
    </row>
    <row r="20" spans="1:9" x14ac:dyDescent="0.3">
      <c r="A20" t="s">
        <v>517</v>
      </c>
      <c r="B20" t="s">
        <v>154</v>
      </c>
      <c r="C20" t="s">
        <v>360</v>
      </c>
      <c r="D20">
        <v>2</v>
      </c>
      <c r="E20">
        <v>2</v>
      </c>
      <c r="F20">
        <v>2</v>
      </c>
      <c r="G20">
        <v>2</v>
      </c>
      <c r="H20">
        <v>1</v>
      </c>
      <c r="I20" t="s">
        <v>468</v>
      </c>
    </row>
    <row r="21" spans="1:9" x14ac:dyDescent="0.3">
      <c r="A21" t="s">
        <v>517</v>
      </c>
      <c r="B21" t="s">
        <v>280</v>
      </c>
      <c r="C21" t="s">
        <v>314</v>
      </c>
      <c r="D21">
        <v>2</v>
      </c>
      <c r="E21">
        <v>1</v>
      </c>
      <c r="F21">
        <v>1</v>
      </c>
      <c r="G21">
        <v>3</v>
      </c>
      <c r="H21">
        <v>1</v>
      </c>
      <c r="I21" t="s">
        <v>468</v>
      </c>
    </row>
    <row r="22" spans="1:9" x14ac:dyDescent="0.3">
      <c r="A22" t="s">
        <v>517</v>
      </c>
      <c r="B22" t="s">
        <v>280</v>
      </c>
      <c r="C22" t="s">
        <v>314</v>
      </c>
      <c r="D22">
        <v>2</v>
      </c>
      <c r="E22">
        <v>1</v>
      </c>
      <c r="F22">
        <v>1</v>
      </c>
      <c r="G22">
        <v>3</v>
      </c>
      <c r="H22">
        <v>1</v>
      </c>
      <c r="I22" t="s">
        <v>468</v>
      </c>
    </row>
    <row r="23" spans="1:9" x14ac:dyDescent="0.3">
      <c r="A23" t="s">
        <v>517</v>
      </c>
      <c r="B23" t="s">
        <v>260</v>
      </c>
      <c r="C23" t="s">
        <v>350</v>
      </c>
      <c r="D23">
        <v>2</v>
      </c>
      <c r="E23">
        <v>1</v>
      </c>
      <c r="F23">
        <v>1</v>
      </c>
      <c r="G23">
        <v>3</v>
      </c>
      <c r="H23">
        <v>2</v>
      </c>
      <c r="I23" t="s">
        <v>468</v>
      </c>
    </row>
    <row r="24" spans="1:9" x14ac:dyDescent="0.3">
      <c r="A24" t="s">
        <v>517</v>
      </c>
      <c r="B24" t="s">
        <v>286</v>
      </c>
      <c r="C24" t="s">
        <v>358</v>
      </c>
      <c r="D24" t="s">
        <v>16</v>
      </c>
      <c r="E24" t="s">
        <v>18</v>
      </c>
      <c r="F24" t="s">
        <v>18</v>
      </c>
      <c r="G24" t="s">
        <v>16</v>
      </c>
      <c r="H24" t="s">
        <v>16</v>
      </c>
      <c r="I24" t="s">
        <v>468</v>
      </c>
    </row>
    <row r="25" spans="1:9" x14ac:dyDescent="0.3">
      <c r="A25" t="s">
        <v>517</v>
      </c>
      <c r="B25" t="s">
        <v>136</v>
      </c>
      <c r="C25" t="s">
        <v>352</v>
      </c>
      <c r="D25">
        <v>3</v>
      </c>
      <c r="E25">
        <v>1</v>
      </c>
      <c r="F25">
        <v>3</v>
      </c>
      <c r="G25">
        <v>3</v>
      </c>
      <c r="H25">
        <v>1</v>
      </c>
      <c r="I25" t="s">
        <v>468</v>
      </c>
    </row>
    <row r="26" spans="1:9" x14ac:dyDescent="0.3">
      <c r="A26" t="s">
        <v>517</v>
      </c>
      <c r="B26" t="s">
        <v>273</v>
      </c>
      <c r="C26" t="s">
        <v>390</v>
      </c>
      <c r="D26">
        <v>1</v>
      </c>
      <c r="E26">
        <v>3</v>
      </c>
      <c r="F26">
        <v>1</v>
      </c>
      <c r="G26">
        <v>1</v>
      </c>
      <c r="H26">
        <v>1</v>
      </c>
      <c r="I26" t="s">
        <v>468</v>
      </c>
    </row>
    <row r="27" spans="1:9" x14ac:dyDescent="0.3">
      <c r="A27" t="s">
        <v>517</v>
      </c>
      <c r="B27" t="s">
        <v>62</v>
      </c>
      <c r="C27" t="s">
        <v>316</v>
      </c>
      <c r="D27">
        <v>2</v>
      </c>
      <c r="E27">
        <v>3</v>
      </c>
      <c r="F27">
        <v>1</v>
      </c>
      <c r="G27">
        <v>1</v>
      </c>
      <c r="H27">
        <v>2</v>
      </c>
      <c r="I27" t="s">
        <v>468</v>
      </c>
    </row>
    <row r="28" spans="1:9" x14ac:dyDescent="0.3">
      <c r="A28" t="s">
        <v>517</v>
      </c>
      <c r="B28" t="s">
        <v>184</v>
      </c>
      <c r="C28" t="s">
        <v>375</v>
      </c>
      <c r="D28">
        <v>2</v>
      </c>
      <c r="E28">
        <v>3</v>
      </c>
      <c r="F28">
        <v>3</v>
      </c>
      <c r="G28">
        <v>1</v>
      </c>
      <c r="H28">
        <v>2</v>
      </c>
      <c r="I28" t="s">
        <v>468</v>
      </c>
    </row>
    <row r="29" spans="1:9" x14ac:dyDescent="0.3">
      <c r="A29" t="s">
        <v>517</v>
      </c>
      <c r="B29" t="s">
        <v>184</v>
      </c>
      <c r="C29" t="s">
        <v>375</v>
      </c>
      <c r="D29">
        <v>2</v>
      </c>
      <c r="E29">
        <v>3</v>
      </c>
      <c r="F29">
        <v>3</v>
      </c>
      <c r="G29">
        <v>1</v>
      </c>
      <c r="H29">
        <v>2</v>
      </c>
      <c r="I29" t="s">
        <v>468</v>
      </c>
    </row>
    <row r="30" spans="1:9" x14ac:dyDescent="0.3">
      <c r="A30" t="s">
        <v>517</v>
      </c>
      <c r="B30" t="s">
        <v>420</v>
      </c>
      <c r="C30" t="s">
        <v>480</v>
      </c>
      <c r="D30">
        <v>1</v>
      </c>
      <c r="E30">
        <v>1</v>
      </c>
      <c r="F30">
        <v>1</v>
      </c>
      <c r="G30">
        <v>1</v>
      </c>
      <c r="H30">
        <v>1</v>
      </c>
      <c r="I30" t="s">
        <v>468</v>
      </c>
    </row>
    <row r="31" spans="1:9" x14ac:dyDescent="0.3">
      <c r="A31" t="s">
        <v>517</v>
      </c>
      <c r="B31" t="s">
        <v>274</v>
      </c>
      <c r="C31" t="s">
        <v>391</v>
      </c>
      <c r="D31">
        <v>2</v>
      </c>
      <c r="E31">
        <v>1</v>
      </c>
      <c r="F31">
        <v>3</v>
      </c>
      <c r="G31">
        <v>2</v>
      </c>
      <c r="H31">
        <v>2</v>
      </c>
      <c r="I31" t="s">
        <v>468</v>
      </c>
    </row>
    <row r="32" spans="1:9" x14ac:dyDescent="0.3">
      <c r="A32" t="s">
        <v>517</v>
      </c>
      <c r="B32" t="s">
        <v>291</v>
      </c>
      <c r="C32" t="s">
        <v>339</v>
      </c>
      <c r="D32">
        <v>2</v>
      </c>
      <c r="E32">
        <v>3</v>
      </c>
      <c r="F32">
        <v>1</v>
      </c>
      <c r="G32">
        <v>3</v>
      </c>
      <c r="H32">
        <v>2</v>
      </c>
      <c r="I32" t="s">
        <v>468</v>
      </c>
    </row>
    <row r="33" spans="1:9" x14ac:dyDescent="0.3">
      <c r="A33" t="s">
        <v>517</v>
      </c>
      <c r="B33" t="s">
        <v>255</v>
      </c>
      <c r="C33" t="s">
        <v>343</v>
      </c>
      <c r="D33">
        <v>2</v>
      </c>
      <c r="E33">
        <v>2</v>
      </c>
      <c r="F33">
        <v>1</v>
      </c>
      <c r="G33">
        <v>3</v>
      </c>
      <c r="H33">
        <v>1</v>
      </c>
      <c r="I33" t="s">
        <v>468</v>
      </c>
    </row>
    <row r="34" spans="1:9" x14ac:dyDescent="0.3">
      <c r="A34" t="s">
        <v>517</v>
      </c>
      <c r="B34" t="s">
        <v>427</v>
      </c>
      <c r="C34" t="s">
        <v>486</v>
      </c>
      <c r="D34">
        <v>1</v>
      </c>
      <c r="E34">
        <v>1</v>
      </c>
      <c r="F34">
        <v>1</v>
      </c>
      <c r="G34">
        <v>1</v>
      </c>
      <c r="H34">
        <v>1</v>
      </c>
      <c r="I34" t="s">
        <v>468</v>
      </c>
    </row>
    <row r="35" spans="1:9" x14ac:dyDescent="0.3">
      <c r="A35" t="s">
        <v>517</v>
      </c>
      <c r="B35" t="s">
        <v>134</v>
      </c>
      <c r="C35" t="s">
        <v>351</v>
      </c>
      <c r="D35">
        <v>2</v>
      </c>
      <c r="E35">
        <v>3</v>
      </c>
      <c r="F35">
        <v>3</v>
      </c>
      <c r="G35">
        <v>2</v>
      </c>
      <c r="H35">
        <v>1</v>
      </c>
      <c r="I35" t="s">
        <v>468</v>
      </c>
    </row>
    <row r="36" spans="1:9" x14ac:dyDescent="0.3">
      <c r="A36" t="s">
        <v>517</v>
      </c>
      <c r="B36" t="s">
        <v>244</v>
      </c>
      <c r="C36" t="s">
        <v>308</v>
      </c>
      <c r="D36">
        <v>2</v>
      </c>
      <c r="E36">
        <v>2</v>
      </c>
      <c r="F36">
        <v>1</v>
      </c>
      <c r="G36">
        <v>1</v>
      </c>
      <c r="H36">
        <v>1</v>
      </c>
      <c r="I36" t="s">
        <v>468</v>
      </c>
    </row>
    <row r="37" spans="1:9" x14ac:dyDescent="0.3">
      <c r="A37" t="s">
        <v>517</v>
      </c>
      <c r="B37" t="s">
        <v>277</v>
      </c>
      <c r="C37" t="s">
        <v>403</v>
      </c>
      <c r="D37">
        <v>2</v>
      </c>
      <c r="E37">
        <v>1</v>
      </c>
      <c r="F37">
        <v>2</v>
      </c>
      <c r="G37">
        <v>2</v>
      </c>
      <c r="H37">
        <v>2</v>
      </c>
      <c r="I37" t="s">
        <v>468</v>
      </c>
    </row>
    <row r="38" spans="1:9" x14ac:dyDescent="0.3">
      <c r="A38" t="s">
        <v>517</v>
      </c>
      <c r="B38" t="s">
        <v>421</v>
      </c>
      <c r="C38" t="s">
        <v>489</v>
      </c>
      <c r="D38">
        <v>1</v>
      </c>
      <c r="E38">
        <v>1</v>
      </c>
      <c r="F38">
        <v>1</v>
      </c>
      <c r="G38">
        <v>1</v>
      </c>
      <c r="H38">
        <v>1</v>
      </c>
      <c r="I38" t="s">
        <v>468</v>
      </c>
    </row>
    <row r="39" spans="1:9" x14ac:dyDescent="0.3">
      <c r="A39" t="s">
        <v>517</v>
      </c>
      <c r="B39" t="s">
        <v>438</v>
      </c>
      <c r="C39" t="s">
        <v>454</v>
      </c>
      <c r="D39">
        <v>1</v>
      </c>
      <c r="E39">
        <v>1</v>
      </c>
      <c r="F39">
        <v>1</v>
      </c>
      <c r="G39">
        <v>1</v>
      </c>
      <c r="H39">
        <v>1</v>
      </c>
      <c r="I39" t="s">
        <v>468</v>
      </c>
    </row>
    <row r="40" spans="1:9" x14ac:dyDescent="0.3">
      <c r="A40" t="s">
        <v>517</v>
      </c>
      <c r="B40" t="s">
        <v>440</v>
      </c>
      <c r="C40" t="s">
        <v>456</v>
      </c>
      <c r="D40">
        <v>1</v>
      </c>
      <c r="E40">
        <v>1</v>
      </c>
      <c r="F40">
        <v>1</v>
      </c>
      <c r="G40">
        <v>1</v>
      </c>
      <c r="H40">
        <v>1</v>
      </c>
      <c r="I40" t="s">
        <v>468</v>
      </c>
    </row>
    <row r="41" spans="1:9" x14ac:dyDescent="0.3">
      <c r="A41" t="s">
        <v>517</v>
      </c>
      <c r="B41" t="s">
        <v>194</v>
      </c>
      <c r="C41" t="s">
        <v>380</v>
      </c>
      <c r="D41">
        <v>3</v>
      </c>
      <c r="E41">
        <v>2</v>
      </c>
      <c r="F41">
        <v>3</v>
      </c>
      <c r="G41">
        <v>3</v>
      </c>
      <c r="H41">
        <v>2</v>
      </c>
      <c r="I41" t="s">
        <v>468</v>
      </c>
    </row>
    <row r="42" spans="1:9" x14ac:dyDescent="0.3">
      <c r="A42" t="s">
        <v>517</v>
      </c>
      <c r="B42" t="s">
        <v>438</v>
      </c>
      <c r="C42" t="s">
        <v>458</v>
      </c>
      <c r="D42">
        <v>2</v>
      </c>
      <c r="E42">
        <v>3</v>
      </c>
      <c r="F42">
        <v>3</v>
      </c>
      <c r="G42">
        <v>2</v>
      </c>
      <c r="H42">
        <v>2</v>
      </c>
      <c r="I42" t="s">
        <v>468</v>
      </c>
    </row>
    <row r="43" spans="1:9" x14ac:dyDescent="0.3">
      <c r="A43" t="s">
        <v>517</v>
      </c>
      <c r="B43" t="s">
        <v>285</v>
      </c>
      <c r="C43" t="s">
        <v>355</v>
      </c>
      <c r="D43">
        <v>1</v>
      </c>
      <c r="E43">
        <v>1</v>
      </c>
      <c r="F43">
        <v>3</v>
      </c>
      <c r="G43">
        <v>3</v>
      </c>
      <c r="H43">
        <v>1</v>
      </c>
      <c r="I43" t="s">
        <v>468</v>
      </c>
    </row>
    <row r="44" spans="1:9" x14ac:dyDescent="0.3">
      <c r="A44" t="s">
        <v>517</v>
      </c>
      <c r="B44" t="s">
        <v>192</v>
      </c>
      <c r="C44" t="s">
        <v>379</v>
      </c>
      <c r="D44">
        <v>3</v>
      </c>
      <c r="E44">
        <v>1</v>
      </c>
      <c r="F44">
        <v>3</v>
      </c>
      <c r="G44">
        <v>3</v>
      </c>
      <c r="H44">
        <v>1</v>
      </c>
      <c r="I44" t="s">
        <v>468</v>
      </c>
    </row>
    <row r="45" spans="1:9" x14ac:dyDescent="0.3">
      <c r="A45" t="s">
        <v>517</v>
      </c>
      <c r="B45" t="s">
        <v>222</v>
      </c>
      <c r="C45" t="s">
        <v>394</v>
      </c>
      <c r="D45">
        <v>2</v>
      </c>
      <c r="E45">
        <v>3</v>
      </c>
      <c r="F45">
        <v>1</v>
      </c>
      <c r="G45">
        <v>3</v>
      </c>
      <c r="H45">
        <v>1</v>
      </c>
      <c r="I45" t="s">
        <v>468</v>
      </c>
    </row>
    <row r="46" spans="1:9" x14ac:dyDescent="0.3">
      <c r="A46" t="s">
        <v>517</v>
      </c>
      <c r="B46" t="s">
        <v>258</v>
      </c>
      <c r="C46" t="s">
        <v>346</v>
      </c>
      <c r="D46">
        <v>3</v>
      </c>
      <c r="E46">
        <v>2</v>
      </c>
      <c r="F46">
        <v>3</v>
      </c>
      <c r="G46">
        <v>3</v>
      </c>
      <c r="H46">
        <v>2</v>
      </c>
      <c r="I46" t="s">
        <v>468</v>
      </c>
    </row>
    <row r="47" spans="1:9" x14ac:dyDescent="0.3">
      <c r="A47" t="s">
        <v>517</v>
      </c>
      <c r="B47" t="s">
        <v>414</v>
      </c>
      <c r="C47" t="s">
        <v>493</v>
      </c>
      <c r="D47">
        <v>1</v>
      </c>
      <c r="E47">
        <v>1</v>
      </c>
      <c r="F47">
        <v>1</v>
      </c>
      <c r="G47">
        <v>1</v>
      </c>
      <c r="H47">
        <v>1</v>
      </c>
      <c r="I47" t="s">
        <v>468</v>
      </c>
    </row>
    <row r="48" spans="1:9" x14ac:dyDescent="0.3">
      <c r="A48" t="s">
        <v>517</v>
      </c>
      <c r="B48" t="s">
        <v>54</v>
      </c>
      <c r="C48" t="s">
        <v>312</v>
      </c>
      <c r="D48">
        <v>3</v>
      </c>
      <c r="E48">
        <v>1</v>
      </c>
      <c r="F48">
        <v>1</v>
      </c>
      <c r="G48">
        <v>3</v>
      </c>
      <c r="H48">
        <v>2</v>
      </c>
      <c r="I48" t="s">
        <v>468</v>
      </c>
    </row>
    <row r="49" spans="1:9" x14ac:dyDescent="0.3">
      <c r="A49" t="s">
        <v>517</v>
      </c>
      <c r="B49" t="s">
        <v>411</v>
      </c>
      <c r="C49" t="s">
        <v>494</v>
      </c>
      <c r="D49">
        <v>1</v>
      </c>
      <c r="E49">
        <v>1</v>
      </c>
      <c r="F49">
        <v>1</v>
      </c>
      <c r="G49">
        <v>1</v>
      </c>
      <c r="H49">
        <v>1</v>
      </c>
      <c r="I49" t="s">
        <v>468</v>
      </c>
    </row>
    <row r="50" spans="1:9" x14ac:dyDescent="0.3">
      <c r="A50" t="s">
        <v>517</v>
      </c>
      <c r="B50" t="s">
        <v>422</v>
      </c>
      <c r="C50" t="s">
        <v>495</v>
      </c>
      <c r="D50">
        <v>1</v>
      </c>
      <c r="E50">
        <v>1</v>
      </c>
      <c r="F50">
        <v>1</v>
      </c>
      <c r="G50">
        <v>1</v>
      </c>
      <c r="H50">
        <v>1</v>
      </c>
      <c r="I50" t="s">
        <v>468</v>
      </c>
    </row>
    <row r="51" spans="1:9" x14ac:dyDescent="0.3">
      <c r="A51" t="s">
        <v>517</v>
      </c>
      <c r="B51" t="s">
        <v>264</v>
      </c>
      <c r="C51" t="s">
        <v>364</v>
      </c>
      <c r="D51" t="s">
        <v>16</v>
      </c>
      <c r="E51" t="s">
        <v>18</v>
      </c>
      <c r="F51" t="s">
        <v>18</v>
      </c>
      <c r="G51" t="s">
        <v>16</v>
      </c>
      <c r="H51" t="s">
        <v>16</v>
      </c>
      <c r="I51" t="s">
        <v>468</v>
      </c>
    </row>
    <row r="52" spans="1:9" x14ac:dyDescent="0.3">
      <c r="A52" t="s">
        <v>517</v>
      </c>
      <c r="B52" t="s">
        <v>202</v>
      </c>
      <c r="C52" t="s">
        <v>384</v>
      </c>
      <c r="D52">
        <v>3</v>
      </c>
      <c r="E52">
        <v>3</v>
      </c>
      <c r="F52">
        <v>1</v>
      </c>
      <c r="G52">
        <v>3</v>
      </c>
      <c r="H52">
        <v>1</v>
      </c>
      <c r="I52" t="s">
        <v>468</v>
      </c>
    </row>
    <row r="53" spans="1:9" x14ac:dyDescent="0.3">
      <c r="A53" t="s">
        <v>517</v>
      </c>
      <c r="B53" t="s">
        <v>148</v>
      </c>
      <c r="C53" t="s">
        <v>357</v>
      </c>
      <c r="D53">
        <v>2</v>
      </c>
      <c r="E53">
        <v>3</v>
      </c>
      <c r="F53">
        <v>3</v>
      </c>
      <c r="G53">
        <v>2</v>
      </c>
      <c r="H53">
        <v>2</v>
      </c>
      <c r="I53" t="s">
        <v>468</v>
      </c>
    </row>
    <row r="54" spans="1:9" x14ac:dyDescent="0.3">
      <c r="A54" t="s">
        <v>517</v>
      </c>
      <c r="B54" t="s">
        <v>262</v>
      </c>
      <c r="C54" t="s">
        <v>359</v>
      </c>
      <c r="D54">
        <v>2</v>
      </c>
      <c r="E54">
        <v>3</v>
      </c>
      <c r="F54">
        <v>1</v>
      </c>
      <c r="G54">
        <v>1</v>
      </c>
      <c r="H54">
        <v>2</v>
      </c>
      <c r="I54" t="s">
        <v>468</v>
      </c>
    </row>
    <row r="55" spans="1:9" x14ac:dyDescent="0.3">
      <c r="A55" t="s">
        <v>517</v>
      </c>
      <c r="B55" t="s">
        <v>288</v>
      </c>
      <c r="C55" t="s">
        <v>395</v>
      </c>
      <c r="D55">
        <v>3</v>
      </c>
      <c r="E55">
        <v>1</v>
      </c>
      <c r="F55">
        <v>3</v>
      </c>
      <c r="G55">
        <v>3</v>
      </c>
      <c r="H55">
        <v>1</v>
      </c>
      <c r="I55" t="s">
        <v>468</v>
      </c>
    </row>
    <row r="56" spans="1:9" x14ac:dyDescent="0.3">
      <c r="A56" t="s">
        <v>517</v>
      </c>
      <c r="B56" t="s">
        <v>442</v>
      </c>
      <c r="C56" t="s">
        <v>459</v>
      </c>
      <c r="D56">
        <v>1</v>
      </c>
      <c r="E56">
        <v>1</v>
      </c>
      <c r="F56">
        <v>1</v>
      </c>
      <c r="G56">
        <v>1</v>
      </c>
      <c r="H56">
        <v>1</v>
      </c>
      <c r="I56" t="s">
        <v>468</v>
      </c>
    </row>
    <row r="57" spans="1:9" x14ac:dyDescent="0.3">
      <c r="A57" t="s">
        <v>517</v>
      </c>
      <c r="B57" t="s">
        <v>443</v>
      </c>
      <c r="C57" t="s">
        <v>460</v>
      </c>
      <c r="D57">
        <v>1</v>
      </c>
      <c r="E57">
        <v>1</v>
      </c>
      <c r="F57">
        <v>1</v>
      </c>
      <c r="G57">
        <v>1</v>
      </c>
      <c r="H57">
        <v>1</v>
      </c>
      <c r="I57" t="s">
        <v>468</v>
      </c>
    </row>
    <row r="58" spans="1:9" x14ac:dyDescent="0.3">
      <c r="A58" t="s">
        <v>517</v>
      </c>
      <c r="B58" t="s">
        <v>287</v>
      </c>
      <c r="C58" t="s">
        <v>366</v>
      </c>
      <c r="D58">
        <v>2</v>
      </c>
      <c r="E58">
        <v>3</v>
      </c>
      <c r="F58">
        <v>1</v>
      </c>
      <c r="G58">
        <v>3</v>
      </c>
      <c r="H58">
        <v>2</v>
      </c>
      <c r="I58" t="s">
        <v>468</v>
      </c>
    </row>
    <row r="59" spans="1:9" x14ac:dyDescent="0.3">
      <c r="A59" t="s">
        <v>517</v>
      </c>
      <c r="B59" t="s">
        <v>292</v>
      </c>
      <c r="C59" t="s">
        <v>368</v>
      </c>
      <c r="D59">
        <v>3</v>
      </c>
      <c r="E59">
        <v>3</v>
      </c>
      <c r="F59">
        <v>3</v>
      </c>
      <c r="G59">
        <v>3</v>
      </c>
      <c r="H59">
        <v>2</v>
      </c>
      <c r="I59" t="s">
        <v>468</v>
      </c>
    </row>
    <row r="60" spans="1:9" x14ac:dyDescent="0.3">
      <c r="A60" t="s">
        <v>517</v>
      </c>
      <c r="B60" t="s">
        <v>423</v>
      </c>
      <c r="C60" t="s">
        <v>497</v>
      </c>
      <c r="D60">
        <v>1</v>
      </c>
      <c r="E60">
        <v>1</v>
      </c>
      <c r="F60">
        <v>1</v>
      </c>
      <c r="G60">
        <v>1</v>
      </c>
      <c r="H60">
        <v>1</v>
      </c>
      <c r="I60" t="s">
        <v>468</v>
      </c>
    </row>
    <row r="61" spans="1:9" x14ac:dyDescent="0.3">
      <c r="A61" t="s">
        <v>517</v>
      </c>
      <c r="B61" t="s">
        <v>230</v>
      </c>
      <c r="C61" t="s">
        <v>398</v>
      </c>
      <c r="D61">
        <v>2</v>
      </c>
      <c r="E61">
        <v>2</v>
      </c>
      <c r="F61">
        <v>2</v>
      </c>
      <c r="G61">
        <v>1</v>
      </c>
      <c r="H61">
        <v>1</v>
      </c>
      <c r="I61" t="s">
        <v>468</v>
      </c>
    </row>
    <row r="62" spans="1:9" x14ac:dyDescent="0.3">
      <c r="A62" t="s">
        <v>517</v>
      </c>
      <c r="B62" t="s">
        <v>281</v>
      </c>
      <c r="C62" t="s">
        <v>324</v>
      </c>
      <c r="D62">
        <v>3</v>
      </c>
      <c r="E62">
        <v>3</v>
      </c>
      <c r="F62">
        <v>3</v>
      </c>
      <c r="G62">
        <v>3</v>
      </c>
      <c r="H62">
        <v>1</v>
      </c>
      <c r="I62" t="s">
        <v>468</v>
      </c>
    </row>
    <row r="63" spans="1:9" x14ac:dyDescent="0.3">
      <c r="A63" t="s">
        <v>517</v>
      </c>
      <c r="B63" t="s">
        <v>266</v>
      </c>
      <c r="C63" t="s">
        <v>371</v>
      </c>
      <c r="D63">
        <v>2</v>
      </c>
      <c r="E63">
        <v>3</v>
      </c>
      <c r="F63">
        <v>2</v>
      </c>
      <c r="G63">
        <v>1</v>
      </c>
      <c r="H63">
        <v>1</v>
      </c>
      <c r="I63" t="s">
        <v>468</v>
      </c>
    </row>
    <row r="64" spans="1:9" x14ac:dyDescent="0.3">
      <c r="A64" t="s">
        <v>517</v>
      </c>
      <c r="B64" t="s">
        <v>210</v>
      </c>
      <c r="C64" t="s">
        <v>388</v>
      </c>
      <c r="D64">
        <v>2</v>
      </c>
      <c r="E64">
        <v>3</v>
      </c>
      <c r="F64">
        <v>3</v>
      </c>
      <c r="G64">
        <v>3</v>
      </c>
      <c r="H64">
        <v>1</v>
      </c>
      <c r="I64" t="s">
        <v>468</v>
      </c>
    </row>
    <row r="65" spans="1:9" x14ac:dyDescent="0.3">
      <c r="A65" t="s">
        <v>517</v>
      </c>
      <c r="B65" t="s">
        <v>220</v>
      </c>
      <c r="C65" t="s">
        <v>393</v>
      </c>
      <c r="D65">
        <v>3</v>
      </c>
      <c r="E65">
        <v>3</v>
      </c>
      <c r="F65">
        <v>3</v>
      </c>
      <c r="G65">
        <v>3</v>
      </c>
      <c r="H65">
        <v>2</v>
      </c>
      <c r="I65" t="s">
        <v>468</v>
      </c>
    </row>
    <row r="66" spans="1:9" x14ac:dyDescent="0.3">
      <c r="A66" t="s">
        <v>517</v>
      </c>
      <c r="B66" t="s">
        <v>252</v>
      </c>
      <c r="C66" t="s">
        <v>327</v>
      </c>
      <c r="D66">
        <v>2</v>
      </c>
      <c r="E66">
        <v>3</v>
      </c>
      <c r="F66">
        <v>1</v>
      </c>
      <c r="G66">
        <v>2</v>
      </c>
      <c r="H66">
        <v>1</v>
      </c>
      <c r="I66" t="s">
        <v>468</v>
      </c>
    </row>
    <row r="67" spans="1:9" x14ac:dyDescent="0.3">
      <c r="A67" t="s">
        <v>517</v>
      </c>
      <c r="B67" t="s">
        <v>196</v>
      </c>
      <c r="C67" t="s">
        <v>381</v>
      </c>
      <c r="D67">
        <v>2</v>
      </c>
      <c r="E67">
        <v>2</v>
      </c>
      <c r="F67">
        <v>1</v>
      </c>
      <c r="G67">
        <v>1</v>
      </c>
      <c r="H67">
        <v>2</v>
      </c>
      <c r="I67" t="s">
        <v>468</v>
      </c>
    </row>
    <row r="68" spans="1:9" x14ac:dyDescent="0.3">
      <c r="A68" t="s">
        <v>517</v>
      </c>
      <c r="B68" t="s">
        <v>263</v>
      </c>
      <c r="C68" t="s">
        <v>362</v>
      </c>
      <c r="D68">
        <v>1</v>
      </c>
      <c r="E68">
        <v>3</v>
      </c>
      <c r="F68">
        <v>1</v>
      </c>
      <c r="G68">
        <v>3</v>
      </c>
      <c r="H68">
        <v>2</v>
      </c>
      <c r="I68" t="s">
        <v>468</v>
      </c>
    </row>
    <row r="69" spans="1:9" x14ac:dyDescent="0.3">
      <c r="A69" t="s">
        <v>517</v>
      </c>
      <c r="B69" t="s">
        <v>238</v>
      </c>
      <c r="C69" t="s">
        <v>402</v>
      </c>
      <c r="D69">
        <v>2</v>
      </c>
      <c r="E69">
        <v>3</v>
      </c>
      <c r="F69">
        <v>1</v>
      </c>
      <c r="G69">
        <v>3</v>
      </c>
      <c r="H69">
        <v>2</v>
      </c>
      <c r="I69" t="s">
        <v>468</v>
      </c>
    </row>
    <row r="70" spans="1:9" x14ac:dyDescent="0.3">
      <c r="A70" t="s">
        <v>517</v>
      </c>
      <c r="B70" t="s">
        <v>106</v>
      </c>
      <c r="C70" t="s">
        <v>337</v>
      </c>
      <c r="D70">
        <v>2</v>
      </c>
      <c r="E70">
        <v>3</v>
      </c>
      <c r="F70">
        <v>1</v>
      </c>
      <c r="G70">
        <v>3</v>
      </c>
      <c r="H70">
        <v>1</v>
      </c>
      <c r="I70" t="s">
        <v>468</v>
      </c>
    </row>
    <row r="71" spans="1:9" x14ac:dyDescent="0.3">
      <c r="A71" t="s">
        <v>517</v>
      </c>
      <c r="B71" t="s">
        <v>146</v>
      </c>
      <c r="C71" t="s">
        <v>356</v>
      </c>
      <c r="D71">
        <v>3</v>
      </c>
      <c r="E71">
        <v>3</v>
      </c>
      <c r="F71">
        <v>1</v>
      </c>
      <c r="G71">
        <v>2</v>
      </c>
      <c r="H71">
        <v>2</v>
      </c>
      <c r="I71" t="s">
        <v>467</v>
      </c>
    </row>
    <row r="72" spans="1:9" x14ac:dyDescent="0.3">
      <c r="A72" t="s">
        <v>517</v>
      </c>
      <c r="B72" t="s">
        <v>429</v>
      </c>
      <c r="C72" t="s">
        <v>475</v>
      </c>
      <c r="D72">
        <v>1</v>
      </c>
      <c r="E72">
        <v>1</v>
      </c>
      <c r="F72">
        <v>1</v>
      </c>
      <c r="G72">
        <v>1</v>
      </c>
      <c r="H72">
        <v>1</v>
      </c>
      <c r="I72" t="s">
        <v>467</v>
      </c>
    </row>
    <row r="73" spans="1:9" x14ac:dyDescent="0.3">
      <c r="A73" t="s">
        <v>517</v>
      </c>
      <c r="B73" t="s">
        <v>278</v>
      </c>
      <c r="C73" t="s">
        <v>300</v>
      </c>
      <c r="D73" t="s">
        <v>16</v>
      </c>
      <c r="E73" t="s">
        <v>18</v>
      </c>
      <c r="F73" t="s">
        <v>18</v>
      </c>
      <c r="G73">
        <v>2</v>
      </c>
      <c r="H73">
        <v>2</v>
      </c>
      <c r="I73" t="s">
        <v>467</v>
      </c>
    </row>
    <row r="74" spans="1:9" x14ac:dyDescent="0.3">
      <c r="A74" t="s">
        <v>517</v>
      </c>
      <c r="B74" t="s">
        <v>250</v>
      </c>
      <c r="C74" t="s">
        <v>321</v>
      </c>
      <c r="D74">
        <v>2</v>
      </c>
      <c r="E74">
        <v>1</v>
      </c>
      <c r="F74">
        <v>3</v>
      </c>
      <c r="G74">
        <v>3</v>
      </c>
      <c r="H74">
        <v>2</v>
      </c>
      <c r="I74" t="s">
        <v>467</v>
      </c>
    </row>
    <row r="75" spans="1:9" x14ac:dyDescent="0.3">
      <c r="A75" t="s">
        <v>517</v>
      </c>
      <c r="B75" t="s">
        <v>90</v>
      </c>
      <c r="C75" t="s">
        <v>293</v>
      </c>
      <c r="D75">
        <v>3</v>
      </c>
      <c r="E75">
        <v>3</v>
      </c>
      <c r="F75">
        <v>1</v>
      </c>
      <c r="G75">
        <v>2</v>
      </c>
      <c r="H75">
        <v>2</v>
      </c>
      <c r="I75" t="s">
        <v>467</v>
      </c>
    </row>
    <row r="76" spans="1:9" x14ac:dyDescent="0.3">
      <c r="A76" t="s">
        <v>517</v>
      </c>
      <c r="B76" t="s">
        <v>265</v>
      </c>
      <c r="C76" t="s">
        <v>365</v>
      </c>
      <c r="D76" t="s">
        <v>16</v>
      </c>
      <c r="E76" t="s">
        <v>18</v>
      </c>
      <c r="F76" t="s">
        <v>18</v>
      </c>
      <c r="G76" t="s">
        <v>16</v>
      </c>
      <c r="H76" t="s">
        <v>16</v>
      </c>
      <c r="I76" t="s">
        <v>467</v>
      </c>
    </row>
    <row r="77" spans="1:9" x14ac:dyDescent="0.3">
      <c r="A77" t="s">
        <v>517</v>
      </c>
      <c r="B77" t="s">
        <v>248</v>
      </c>
      <c r="C77" t="s">
        <v>315</v>
      </c>
      <c r="D77">
        <v>1</v>
      </c>
      <c r="E77">
        <v>1</v>
      </c>
      <c r="F77">
        <v>3</v>
      </c>
      <c r="G77">
        <v>3</v>
      </c>
      <c r="H77">
        <v>2</v>
      </c>
      <c r="I77" t="s">
        <v>467</v>
      </c>
    </row>
    <row r="78" spans="1:9" x14ac:dyDescent="0.3">
      <c r="A78" t="s">
        <v>517</v>
      </c>
      <c r="B78" t="s">
        <v>276</v>
      </c>
      <c r="C78" t="s">
        <v>401</v>
      </c>
      <c r="D78">
        <v>3</v>
      </c>
      <c r="E78">
        <v>1</v>
      </c>
      <c r="F78">
        <v>1</v>
      </c>
      <c r="G78">
        <v>3</v>
      </c>
      <c r="H78">
        <v>1</v>
      </c>
      <c r="I78" t="s">
        <v>467</v>
      </c>
    </row>
    <row r="79" spans="1:9" x14ac:dyDescent="0.3">
      <c r="A79" t="s">
        <v>517</v>
      </c>
      <c r="B79" t="s">
        <v>66</v>
      </c>
      <c r="C79" t="s">
        <v>318</v>
      </c>
      <c r="D79">
        <v>3</v>
      </c>
      <c r="E79" t="s">
        <v>18</v>
      </c>
      <c r="F79" t="s">
        <v>18</v>
      </c>
      <c r="G79" t="s">
        <v>16</v>
      </c>
      <c r="H79" t="s">
        <v>16</v>
      </c>
      <c r="I79" t="s">
        <v>467</v>
      </c>
    </row>
    <row r="80" spans="1:9" x14ac:dyDescent="0.3">
      <c r="A80" t="s">
        <v>517</v>
      </c>
      <c r="B80" t="s">
        <v>408</v>
      </c>
      <c r="C80" t="s">
        <v>483</v>
      </c>
      <c r="D80">
        <v>1</v>
      </c>
      <c r="E80">
        <v>1</v>
      </c>
      <c r="F80">
        <v>1</v>
      </c>
      <c r="G80">
        <v>1</v>
      </c>
      <c r="H80">
        <v>1</v>
      </c>
      <c r="I80" t="s">
        <v>467</v>
      </c>
    </row>
    <row r="81" spans="1:9" x14ac:dyDescent="0.3">
      <c r="A81" t="s">
        <v>517</v>
      </c>
      <c r="B81" t="s">
        <v>212</v>
      </c>
      <c r="C81" t="s">
        <v>389</v>
      </c>
      <c r="D81">
        <v>3</v>
      </c>
      <c r="E81">
        <v>3</v>
      </c>
      <c r="F81" t="s">
        <v>473</v>
      </c>
      <c r="G81" t="s">
        <v>473</v>
      </c>
      <c r="H81">
        <v>1</v>
      </c>
      <c r="I81" t="s">
        <v>467</v>
      </c>
    </row>
    <row r="82" spans="1:9" x14ac:dyDescent="0.3">
      <c r="A82" t="s">
        <v>517</v>
      </c>
      <c r="B82" t="s">
        <v>86</v>
      </c>
      <c r="C82" t="s">
        <v>328</v>
      </c>
      <c r="D82">
        <v>2</v>
      </c>
      <c r="E82">
        <v>1</v>
      </c>
      <c r="F82">
        <v>2</v>
      </c>
      <c r="G82">
        <v>2</v>
      </c>
      <c r="H82">
        <v>2</v>
      </c>
      <c r="I82" t="s">
        <v>467</v>
      </c>
    </row>
    <row r="83" spans="1:9" x14ac:dyDescent="0.3">
      <c r="A83" t="s">
        <v>517</v>
      </c>
      <c r="B83" t="s">
        <v>405</v>
      </c>
      <c r="C83" t="s">
        <v>487</v>
      </c>
      <c r="D83">
        <v>1</v>
      </c>
      <c r="E83">
        <v>1</v>
      </c>
      <c r="F83">
        <v>1</v>
      </c>
      <c r="G83">
        <v>1</v>
      </c>
      <c r="H83">
        <v>1</v>
      </c>
      <c r="I83" t="s">
        <v>467</v>
      </c>
    </row>
    <row r="84" spans="1:9" x14ac:dyDescent="0.3">
      <c r="A84" t="s">
        <v>517</v>
      </c>
      <c r="B84" t="s">
        <v>42</v>
      </c>
      <c r="C84" t="s">
        <v>307</v>
      </c>
      <c r="D84">
        <v>3</v>
      </c>
      <c r="E84">
        <v>3</v>
      </c>
      <c r="F84">
        <v>1</v>
      </c>
      <c r="G84">
        <v>3</v>
      </c>
      <c r="H84">
        <v>2</v>
      </c>
      <c r="I84" t="s">
        <v>467</v>
      </c>
    </row>
    <row r="85" spans="1:9" x14ac:dyDescent="0.3">
      <c r="A85" t="s">
        <v>517</v>
      </c>
      <c r="B85" t="s">
        <v>437</v>
      </c>
      <c r="C85" t="s">
        <v>453</v>
      </c>
      <c r="D85">
        <v>3</v>
      </c>
      <c r="E85">
        <v>3</v>
      </c>
      <c r="F85">
        <v>3</v>
      </c>
      <c r="G85">
        <v>3</v>
      </c>
      <c r="H85">
        <v>1</v>
      </c>
      <c r="I85" t="s">
        <v>467</v>
      </c>
    </row>
    <row r="86" spans="1:9" x14ac:dyDescent="0.3">
      <c r="A86" t="s">
        <v>517</v>
      </c>
      <c r="B86" t="s">
        <v>140</v>
      </c>
      <c r="C86" t="s">
        <v>294</v>
      </c>
      <c r="D86" t="s">
        <v>16</v>
      </c>
      <c r="E86">
        <v>3</v>
      </c>
      <c r="F86" t="s">
        <v>18</v>
      </c>
      <c r="G86" t="s">
        <v>16</v>
      </c>
      <c r="H86" t="s">
        <v>16</v>
      </c>
      <c r="I86" t="s">
        <v>467</v>
      </c>
    </row>
    <row r="87" spans="1:9" x14ac:dyDescent="0.3">
      <c r="A87" t="s">
        <v>517</v>
      </c>
      <c r="B87" t="s">
        <v>20</v>
      </c>
      <c r="C87" t="s">
        <v>297</v>
      </c>
      <c r="D87">
        <v>3</v>
      </c>
      <c r="E87">
        <v>3</v>
      </c>
      <c r="F87">
        <v>1</v>
      </c>
      <c r="G87">
        <v>3</v>
      </c>
      <c r="H87">
        <v>2</v>
      </c>
      <c r="I87" t="s">
        <v>467</v>
      </c>
    </row>
    <row r="88" spans="1:9" x14ac:dyDescent="0.3">
      <c r="A88" t="s">
        <v>517</v>
      </c>
      <c r="B88" t="s">
        <v>430</v>
      </c>
      <c r="C88" t="s">
        <v>490</v>
      </c>
      <c r="D88">
        <v>1</v>
      </c>
      <c r="E88">
        <v>1</v>
      </c>
      <c r="F88">
        <v>1</v>
      </c>
      <c r="G88">
        <v>1</v>
      </c>
      <c r="H88">
        <v>1</v>
      </c>
      <c r="I88" t="s">
        <v>467</v>
      </c>
    </row>
    <row r="89" spans="1:9" x14ac:dyDescent="0.3">
      <c r="A89" t="s">
        <v>517</v>
      </c>
      <c r="B89" t="s">
        <v>431</v>
      </c>
      <c r="C89" t="s">
        <v>491</v>
      </c>
      <c r="D89">
        <v>1</v>
      </c>
      <c r="E89">
        <v>1</v>
      </c>
      <c r="F89">
        <v>1</v>
      </c>
      <c r="G89">
        <v>1</v>
      </c>
      <c r="H89">
        <v>1</v>
      </c>
      <c r="I89" t="s">
        <v>467</v>
      </c>
    </row>
    <row r="90" spans="1:9" x14ac:dyDescent="0.3">
      <c r="A90" t="s">
        <v>517</v>
      </c>
      <c r="B90" t="s">
        <v>243</v>
      </c>
      <c r="C90" t="s">
        <v>305</v>
      </c>
      <c r="D90">
        <v>3</v>
      </c>
      <c r="E90">
        <v>3</v>
      </c>
      <c r="F90">
        <v>1</v>
      </c>
      <c r="G90">
        <v>3</v>
      </c>
      <c r="H90">
        <v>1</v>
      </c>
      <c r="I90" t="s">
        <v>467</v>
      </c>
    </row>
    <row r="91" spans="1:9" x14ac:dyDescent="0.3">
      <c r="A91" t="s">
        <v>517</v>
      </c>
      <c r="B91" t="s">
        <v>415</v>
      </c>
      <c r="C91" t="s">
        <v>492</v>
      </c>
      <c r="D91">
        <v>1</v>
      </c>
      <c r="E91">
        <v>1</v>
      </c>
      <c r="F91">
        <v>1</v>
      </c>
      <c r="G91">
        <v>1</v>
      </c>
      <c r="H91">
        <v>1</v>
      </c>
      <c r="I91" t="s">
        <v>467</v>
      </c>
    </row>
    <row r="92" spans="1:9" x14ac:dyDescent="0.3">
      <c r="A92" t="s">
        <v>517</v>
      </c>
      <c r="B92" t="s">
        <v>15</v>
      </c>
      <c r="C92" t="s">
        <v>296</v>
      </c>
      <c r="D92" t="s">
        <v>16</v>
      </c>
      <c r="E92">
        <v>3</v>
      </c>
      <c r="F92" t="s">
        <v>18</v>
      </c>
      <c r="G92" t="s">
        <v>16</v>
      </c>
      <c r="H92" t="s">
        <v>16</v>
      </c>
      <c r="I92" t="s">
        <v>467</v>
      </c>
    </row>
    <row r="93" spans="1:9" x14ac:dyDescent="0.3">
      <c r="A93" t="s">
        <v>517</v>
      </c>
      <c r="B93" t="s">
        <v>208</v>
      </c>
      <c r="C93" t="s">
        <v>387</v>
      </c>
      <c r="D93" t="s">
        <v>16</v>
      </c>
      <c r="E93" t="s">
        <v>18</v>
      </c>
      <c r="F93" t="s">
        <v>18</v>
      </c>
      <c r="G93">
        <v>1</v>
      </c>
      <c r="H93">
        <v>1</v>
      </c>
      <c r="I93" t="s">
        <v>467</v>
      </c>
    </row>
    <row r="94" spans="1:9" x14ac:dyDescent="0.3">
      <c r="A94" t="s">
        <v>517</v>
      </c>
      <c r="B94" t="s">
        <v>249</v>
      </c>
      <c r="C94" t="s">
        <v>317</v>
      </c>
      <c r="D94">
        <v>2</v>
      </c>
      <c r="E94">
        <v>3</v>
      </c>
      <c r="F94">
        <v>1</v>
      </c>
      <c r="G94">
        <v>3</v>
      </c>
      <c r="H94">
        <v>2</v>
      </c>
      <c r="I94" t="s">
        <v>467</v>
      </c>
    </row>
    <row r="95" spans="1:9" x14ac:dyDescent="0.3">
      <c r="A95" t="s">
        <v>517</v>
      </c>
      <c r="B95" t="s">
        <v>272</v>
      </c>
      <c r="C95" t="s">
        <v>382</v>
      </c>
      <c r="D95">
        <v>1</v>
      </c>
      <c r="E95">
        <v>2</v>
      </c>
      <c r="F95">
        <v>3</v>
      </c>
      <c r="G95">
        <v>2</v>
      </c>
      <c r="H95">
        <v>1</v>
      </c>
      <c r="I95" t="s">
        <v>467</v>
      </c>
    </row>
    <row r="96" spans="1:9" x14ac:dyDescent="0.3">
      <c r="A96" t="s">
        <v>517</v>
      </c>
      <c r="B96" t="s">
        <v>226</v>
      </c>
      <c r="C96" t="s">
        <v>396</v>
      </c>
      <c r="D96">
        <v>2</v>
      </c>
      <c r="E96">
        <v>2</v>
      </c>
      <c r="F96">
        <v>1</v>
      </c>
      <c r="G96">
        <v>3</v>
      </c>
      <c r="H96">
        <v>2</v>
      </c>
      <c r="I96" t="s">
        <v>467</v>
      </c>
    </row>
    <row r="97" spans="1:9" x14ac:dyDescent="0.3">
      <c r="A97" t="s">
        <v>517</v>
      </c>
      <c r="B97" t="s">
        <v>76</v>
      </c>
      <c r="C97" t="s">
        <v>323</v>
      </c>
      <c r="D97">
        <v>1</v>
      </c>
      <c r="E97">
        <v>3</v>
      </c>
      <c r="F97">
        <v>3</v>
      </c>
      <c r="G97">
        <v>2</v>
      </c>
      <c r="H97">
        <v>2</v>
      </c>
      <c r="I97" t="s">
        <v>467</v>
      </c>
    </row>
    <row r="98" spans="1:9" x14ac:dyDescent="0.3">
      <c r="A98" t="s">
        <v>517</v>
      </c>
      <c r="B98" t="s">
        <v>446</v>
      </c>
      <c r="C98" t="s">
        <v>464</v>
      </c>
      <c r="D98">
        <v>2</v>
      </c>
      <c r="E98">
        <v>3</v>
      </c>
      <c r="F98">
        <v>1</v>
      </c>
      <c r="G98">
        <v>2</v>
      </c>
      <c r="H98">
        <v>2</v>
      </c>
      <c r="I98" t="s">
        <v>467</v>
      </c>
    </row>
    <row r="99" spans="1:9" x14ac:dyDescent="0.3">
      <c r="A99" t="s">
        <v>517</v>
      </c>
      <c r="B99" t="s">
        <v>206</v>
      </c>
      <c r="C99" t="s">
        <v>386</v>
      </c>
      <c r="D99">
        <v>3</v>
      </c>
      <c r="E99">
        <v>3</v>
      </c>
      <c r="F99">
        <v>1</v>
      </c>
      <c r="G99">
        <v>3</v>
      </c>
      <c r="H99">
        <v>2</v>
      </c>
      <c r="I99" t="s">
        <v>467</v>
      </c>
    </row>
    <row r="100" spans="1:9" x14ac:dyDescent="0.3">
      <c r="A100" t="s">
        <v>517</v>
      </c>
      <c r="B100" t="s">
        <v>409</v>
      </c>
      <c r="C100" t="s">
        <v>500</v>
      </c>
      <c r="D100">
        <v>1</v>
      </c>
      <c r="E100">
        <v>1</v>
      </c>
      <c r="F100">
        <v>1</v>
      </c>
      <c r="G100">
        <v>1</v>
      </c>
      <c r="H100">
        <v>1</v>
      </c>
      <c r="I100" t="s">
        <v>467</v>
      </c>
    </row>
    <row r="101" spans="1:9" x14ac:dyDescent="0.3">
      <c r="A101" t="s">
        <v>517</v>
      </c>
      <c r="B101" t="s">
        <v>52</v>
      </c>
      <c r="C101" t="s">
        <v>295</v>
      </c>
      <c r="D101">
        <v>2</v>
      </c>
      <c r="E101">
        <v>3</v>
      </c>
      <c r="F101">
        <v>1</v>
      </c>
      <c r="G101">
        <v>1</v>
      </c>
      <c r="H101">
        <v>2</v>
      </c>
      <c r="I101" t="s">
        <v>467</v>
      </c>
    </row>
    <row r="102" spans="1:9" x14ac:dyDescent="0.3">
      <c r="A102" t="s">
        <v>517</v>
      </c>
      <c r="B102" t="s">
        <v>447</v>
      </c>
      <c r="C102" t="s">
        <v>465</v>
      </c>
      <c r="D102">
        <v>1</v>
      </c>
      <c r="E102">
        <v>1</v>
      </c>
      <c r="F102">
        <v>1</v>
      </c>
      <c r="G102">
        <v>1</v>
      </c>
      <c r="H102">
        <v>1</v>
      </c>
      <c r="I102" t="s">
        <v>467</v>
      </c>
    </row>
    <row r="103" spans="1:9" x14ac:dyDescent="0.3">
      <c r="A103" t="s">
        <v>518</v>
      </c>
      <c r="B103" t="s">
        <v>418</v>
      </c>
      <c r="C103" t="s">
        <v>478</v>
      </c>
      <c r="D103">
        <v>1</v>
      </c>
      <c r="E103">
        <v>1</v>
      </c>
      <c r="F103">
        <v>1</v>
      </c>
      <c r="G103">
        <v>1</v>
      </c>
      <c r="H103">
        <v>1</v>
      </c>
      <c r="I103" t="s">
        <v>471</v>
      </c>
    </row>
    <row r="104" spans="1:9" x14ac:dyDescent="0.3">
      <c r="A104" t="s">
        <v>518</v>
      </c>
      <c r="B104" t="s">
        <v>434</v>
      </c>
      <c r="C104" t="s">
        <v>450</v>
      </c>
      <c r="D104">
        <v>1</v>
      </c>
      <c r="E104">
        <v>1</v>
      </c>
      <c r="F104">
        <v>1</v>
      </c>
      <c r="G104">
        <v>1</v>
      </c>
      <c r="H104">
        <v>1</v>
      </c>
      <c r="I104" t="s">
        <v>471</v>
      </c>
    </row>
    <row r="105" spans="1:9" x14ac:dyDescent="0.3">
      <c r="A105" t="s">
        <v>518</v>
      </c>
      <c r="B105" t="s">
        <v>74</v>
      </c>
      <c r="C105" t="s">
        <v>322</v>
      </c>
      <c r="D105">
        <v>3</v>
      </c>
      <c r="E105">
        <v>3</v>
      </c>
      <c r="F105">
        <v>3</v>
      </c>
      <c r="G105">
        <v>3</v>
      </c>
      <c r="H105">
        <v>1</v>
      </c>
      <c r="I105" t="s">
        <v>471</v>
      </c>
    </row>
    <row r="106" spans="1:9" x14ac:dyDescent="0.3">
      <c r="A106" t="s">
        <v>518</v>
      </c>
      <c r="B106" t="s">
        <v>439</v>
      </c>
      <c r="C106" t="s">
        <v>455</v>
      </c>
      <c r="D106">
        <v>1</v>
      </c>
      <c r="E106">
        <v>1</v>
      </c>
      <c r="F106">
        <v>1</v>
      </c>
      <c r="G106">
        <v>1</v>
      </c>
      <c r="H106">
        <v>1</v>
      </c>
      <c r="I106" t="s">
        <v>471</v>
      </c>
    </row>
    <row r="107" spans="1:9" x14ac:dyDescent="0.3">
      <c r="A107" t="s">
        <v>518</v>
      </c>
      <c r="B107" t="s">
        <v>444</v>
      </c>
      <c r="C107" t="s">
        <v>461</v>
      </c>
      <c r="D107">
        <v>1</v>
      </c>
      <c r="E107">
        <v>1</v>
      </c>
      <c r="F107">
        <v>1</v>
      </c>
      <c r="G107">
        <v>3</v>
      </c>
      <c r="H107">
        <v>2</v>
      </c>
      <c r="I107" t="s">
        <v>471</v>
      </c>
    </row>
    <row r="108" spans="1:9" x14ac:dyDescent="0.3">
      <c r="A108" t="s">
        <v>518</v>
      </c>
      <c r="B108" t="s">
        <v>172</v>
      </c>
      <c r="C108" t="s">
        <v>369</v>
      </c>
      <c r="D108">
        <v>2</v>
      </c>
      <c r="E108">
        <v>3</v>
      </c>
      <c r="F108">
        <v>1</v>
      </c>
      <c r="G108">
        <v>3</v>
      </c>
      <c r="H108">
        <v>2</v>
      </c>
      <c r="I108" t="s">
        <v>471</v>
      </c>
    </row>
    <row r="109" spans="1:9" x14ac:dyDescent="0.3">
      <c r="A109" t="s">
        <v>518</v>
      </c>
      <c r="B109" t="s">
        <v>275</v>
      </c>
      <c r="C109" t="s">
        <v>392</v>
      </c>
      <c r="D109">
        <v>2</v>
      </c>
      <c r="E109">
        <v>3</v>
      </c>
      <c r="F109">
        <v>3</v>
      </c>
      <c r="G109">
        <v>2</v>
      </c>
      <c r="H109">
        <v>2</v>
      </c>
      <c r="I109" t="s">
        <v>471</v>
      </c>
    </row>
    <row r="110" spans="1:9" x14ac:dyDescent="0.3">
      <c r="A110" t="s">
        <v>518</v>
      </c>
      <c r="B110" t="s">
        <v>36</v>
      </c>
      <c r="C110" t="s">
        <v>304</v>
      </c>
      <c r="D110">
        <v>3</v>
      </c>
      <c r="E110">
        <v>3</v>
      </c>
      <c r="F110">
        <v>3</v>
      </c>
      <c r="G110">
        <v>3</v>
      </c>
      <c r="H110">
        <v>2</v>
      </c>
      <c r="I110" t="s">
        <v>469</v>
      </c>
    </row>
    <row r="111" spans="1:9" x14ac:dyDescent="0.3">
      <c r="A111" t="s">
        <v>518</v>
      </c>
      <c r="B111" t="s">
        <v>259</v>
      </c>
      <c r="C111" t="s">
        <v>347</v>
      </c>
      <c r="D111">
        <v>2</v>
      </c>
      <c r="E111">
        <v>1</v>
      </c>
      <c r="F111">
        <v>1</v>
      </c>
      <c r="G111">
        <v>1</v>
      </c>
      <c r="H111">
        <v>2</v>
      </c>
      <c r="I111" t="s">
        <v>469</v>
      </c>
    </row>
    <row r="112" spans="1:9" x14ac:dyDescent="0.3">
      <c r="A112" t="s">
        <v>518</v>
      </c>
      <c r="B112" t="s">
        <v>270</v>
      </c>
      <c r="C112" t="s">
        <v>377</v>
      </c>
      <c r="D112">
        <v>2</v>
      </c>
      <c r="E112">
        <v>3</v>
      </c>
      <c r="F112">
        <v>1</v>
      </c>
      <c r="G112">
        <v>3</v>
      </c>
      <c r="H112">
        <v>2</v>
      </c>
      <c r="I112" t="s">
        <v>469</v>
      </c>
    </row>
    <row r="113" spans="1:9" x14ac:dyDescent="0.3">
      <c r="A113" t="s">
        <v>518</v>
      </c>
      <c r="B113" t="s">
        <v>284</v>
      </c>
      <c r="C113" t="s">
        <v>335</v>
      </c>
      <c r="D113">
        <v>3</v>
      </c>
      <c r="E113">
        <v>1</v>
      </c>
      <c r="F113">
        <v>3</v>
      </c>
      <c r="G113">
        <v>3</v>
      </c>
      <c r="H113">
        <v>2</v>
      </c>
      <c r="I113" t="s">
        <v>469</v>
      </c>
    </row>
    <row r="114" spans="1:9" x14ac:dyDescent="0.3">
      <c r="A114" t="s">
        <v>518</v>
      </c>
      <c r="B114" t="s">
        <v>26</v>
      </c>
      <c r="C114" t="s">
        <v>299</v>
      </c>
      <c r="D114">
        <v>3</v>
      </c>
      <c r="E114">
        <v>3</v>
      </c>
      <c r="F114">
        <v>1</v>
      </c>
      <c r="G114">
        <v>3</v>
      </c>
      <c r="H114">
        <v>2</v>
      </c>
      <c r="I114" t="s">
        <v>469</v>
      </c>
    </row>
    <row r="115" spans="1:9" x14ac:dyDescent="0.3">
      <c r="A115" t="s">
        <v>518</v>
      </c>
      <c r="B115" t="s">
        <v>290</v>
      </c>
      <c r="C115" t="s">
        <v>326</v>
      </c>
      <c r="D115">
        <v>2</v>
      </c>
      <c r="E115">
        <v>1</v>
      </c>
      <c r="F115">
        <v>1</v>
      </c>
      <c r="G115">
        <v>3</v>
      </c>
      <c r="H115">
        <v>1</v>
      </c>
      <c r="I115" t="s">
        <v>469</v>
      </c>
    </row>
    <row r="116" spans="1:9" x14ac:dyDescent="0.3">
      <c r="A116" t="s">
        <v>518</v>
      </c>
      <c r="B116" t="s">
        <v>96</v>
      </c>
      <c r="C116" t="s">
        <v>332</v>
      </c>
      <c r="D116">
        <v>2</v>
      </c>
      <c r="E116">
        <v>3</v>
      </c>
      <c r="F116">
        <v>1</v>
      </c>
      <c r="G116">
        <v>3</v>
      </c>
      <c r="H116">
        <v>1</v>
      </c>
      <c r="I116" t="s">
        <v>469</v>
      </c>
    </row>
    <row r="117" spans="1:9" x14ac:dyDescent="0.3">
      <c r="A117" t="s">
        <v>518</v>
      </c>
      <c r="B117" t="s">
        <v>253</v>
      </c>
      <c r="C117" t="s">
        <v>338</v>
      </c>
      <c r="D117">
        <v>1</v>
      </c>
      <c r="E117">
        <v>3</v>
      </c>
      <c r="F117">
        <v>1</v>
      </c>
      <c r="G117">
        <v>3</v>
      </c>
      <c r="H117">
        <v>1</v>
      </c>
      <c r="I117" t="s">
        <v>469</v>
      </c>
    </row>
    <row r="118" spans="1:9" x14ac:dyDescent="0.3">
      <c r="A118" t="s">
        <v>518</v>
      </c>
      <c r="B118" t="s">
        <v>279</v>
      </c>
      <c r="C118" t="s">
        <v>301</v>
      </c>
      <c r="D118">
        <v>2</v>
      </c>
      <c r="E118">
        <v>1</v>
      </c>
      <c r="F118">
        <v>1</v>
      </c>
      <c r="G118">
        <v>1</v>
      </c>
      <c r="H118">
        <v>1</v>
      </c>
      <c r="I118" t="s">
        <v>469</v>
      </c>
    </row>
    <row r="119" spans="1:9" x14ac:dyDescent="0.3">
      <c r="A119" t="s">
        <v>518</v>
      </c>
      <c r="B119" t="s">
        <v>424</v>
      </c>
      <c r="C119" t="s">
        <v>476</v>
      </c>
      <c r="D119">
        <v>1</v>
      </c>
      <c r="E119">
        <v>1</v>
      </c>
      <c r="F119">
        <v>1</v>
      </c>
      <c r="G119">
        <v>1</v>
      </c>
      <c r="H119">
        <v>1</v>
      </c>
      <c r="I119" t="s">
        <v>469</v>
      </c>
    </row>
    <row r="120" spans="1:9" x14ac:dyDescent="0.3">
      <c r="A120" t="s">
        <v>518</v>
      </c>
      <c r="B120" t="s">
        <v>254</v>
      </c>
      <c r="C120" t="s">
        <v>341</v>
      </c>
      <c r="D120">
        <v>2</v>
      </c>
      <c r="E120">
        <v>3</v>
      </c>
      <c r="F120">
        <v>1</v>
      </c>
      <c r="G120">
        <v>2</v>
      </c>
      <c r="H120">
        <v>1</v>
      </c>
      <c r="I120" t="s">
        <v>469</v>
      </c>
    </row>
    <row r="121" spans="1:9" x14ac:dyDescent="0.3">
      <c r="A121" t="s">
        <v>518</v>
      </c>
      <c r="B121" t="s">
        <v>282</v>
      </c>
      <c r="C121" t="s">
        <v>331</v>
      </c>
      <c r="D121">
        <v>2</v>
      </c>
      <c r="E121">
        <v>3</v>
      </c>
      <c r="F121">
        <v>1</v>
      </c>
      <c r="G121">
        <v>3</v>
      </c>
      <c r="H121">
        <v>1</v>
      </c>
      <c r="I121" t="s">
        <v>469</v>
      </c>
    </row>
    <row r="122" spans="1:9" x14ac:dyDescent="0.3">
      <c r="A122" t="s">
        <v>518</v>
      </c>
      <c r="B122" t="s">
        <v>68</v>
      </c>
      <c r="C122" t="s">
        <v>319</v>
      </c>
      <c r="D122">
        <v>2</v>
      </c>
      <c r="E122">
        <v>3</v>
      </c>
      <c r="F122">
        <v>1</v>
      </c>
      <c r="G122">
        <v>1</v>
      </c>
      <c r="H122">
        <v>2</v>
      </c>
      <c r="I122" t="s">
        <v>469</v>
      </c>
    </row>
    <row r="123" spans="1:9" x14ac:dyDescent="0.3">
      <c r="A123" t="s">
        <v>518</v>
      </c>
      <c r="B123" t="s">
        <v>283</v>
      </c>
      <c r="C123" t="s">
        <v>333</v>
      </c>
      <c r="D123">
        <v>3</v>
      </c>
      <c r="E123">
        <v>3</v>
      </c>
      <c r="F123">
        <v>1</v>
      </c>
      <c r="G123">
        <v>3</v>
      </c>
      <c r="H123">
        <v>1</v>
      </c>
      <c r="I123" t="s">
        <v>469</v>
      </c>
    </row>
    <row r="124" spans="1:9" x14ac:dyDescent="0.3">
      <c r="A124" t="s">
        <v>518</v>
      </c>
      <c r="B124" t="s">
        <v>251</v>
      </c>
      <c r="C124" t="s">
        <v>325</v>
      </c>
      <c r="D124">
        <v>2</v>
      </c>
      <c r="E124">
        <v>3</v>
      </c>
      <c r="F124">
        <v>1</v>
      </c>
      <c r="G124">
        <v>2</v>
      </c>
      <c r="H124">
        <v>1</v>
      </c>
      <c r="I124" t="s">
        <v>469</v>
      </c>
    </row>
    <row r="125" spans="1:9" x14ac:dyDescent="0.3">
      <c r="A125" t="s">
        <v>518</v>
      </c>
      <c r="B125" t="s">
        <v>433</v>
      </c>
      <c r="C125" t="s">
        <v>449</v>
      </c>
      <c r="D125">
        <v>1</v>
      </c>
      <c r="E125">
        <v>1</v>
      </c>
      <c r="F125">
        <v>1</v>
      </c>
      <c r="G125">
        <v>1</v>
      </c>
      <c r="H125">
        <v>1</v>
      </c>
      <c r="I125" t="s">
        <v>469</v>
      </c>
    </row>
    <row r="126" spans="1:9" x14ac:dyDescent="0.3">
      <c r="A126" t="s">
        <v>518</v>
      </c>
      <c r="B126" t="s">
        <v>34</v>
      </c>
      <c r="C126" t="s">
        <v>303</v>
      </c>
      <c r="D126">
        <v>1</v>
      </c>
      <c r="E126">
        <v>3</v>
      </c>
      <c r="F126">
        <v>3</v>
      </c>
      <c r="G126">
        <v>3</v>
      </c>
      <c r="H126">
        <v>2</v>
      </c>
      <c r="I126" t="s">
        <v>469</v>
      </c>
    </row>
    <row r="127" spans="1:9" x14ac:dyDescent="0.3">
      <c r="A127" t="s">
        <v>518</v>
      </c>
      <c r="B127" t="s">
        <v>247</v>
      </c>
      <c r="C127" t="s">
        <v>313</v>
      </c>
      <c r="D127">
        <v>3</v>
      </c>
      <c r="E127">
        <v>3</v>
      </c>
      <c r="F127">
        <v>3</v>
      </c>
      <c r="G127">
        <v>3</v>
      </c>
      <c r="H127">
        <v>2</v>
      </c>
      <c r="I127" t="s">
        <v>469</v>
      </c>
    </row>
    <row r="128" spans="1:9" x14ac:dyDescent="0.3">
      <c r="A128" t="s">
        <v>518</v>
      </c>
      <c r="B128" t="s">
        <v>24</v>
      </c>
      <c r="C128" t="s">
        <v>298</v>
      </c>
      <c r="D128">
        <v>1</v>
      </c>
      <c r="E128">
        <v>1</v>
      </c>
      <c r="F128">
        <v>2</v>
      </c>
      <c r="G128">
        <v>3</v>
      </c>
      <c r="H128">
        <v>1</v>
      </c>
      <c r="I128" t="s">
        <v>469</v>
      </c>
    </row>
    <row r="129" spans="1:9" x14ac:dyDescent="0.3">
      <c r="A129" t="s">
        <v>518</v>
      </c>
      <c r="B129" t="s">
        <v>204</v>
      </c>
      <c r="C129" t="s">
        <v>385</v>
      </c>
      <c r="D129">
        <v>2</v>
      </c>
      <c r="E129">
        <v>3</v>
      </c>
      <c r="F129">
        <v>1</v>
      </c>
      <c r="G129">
        <v>3</v>
      </c>
      <c r="H129">
        <v>1</v>
      </c>
      <c r="I129" t="s">
        <v>469</v>
      </c>
    </row>
    <row r="130" spans="1:9" x14ac:dyDescent="0.3">
      <c r="A130" t="s">
        <v>518</v>
      </c>
      <c r="B130" t="s">
        <v>267</v>
      </c>
      <c r="C130" t="s">
        <v>373</v>
      </c>
      <c r="D130">
        <v>1</v>
      </c>
      <c r="E130">
        <v>3</v>
      </c>
      <c r="F130">
        <v>1</v>
      </c>
      <c r="G130">
        <v>1</v>
      </c>
      <c r="H130">
        <v>2</v>
      </c>
      <c r="I130" t="s">
        <v>469</v>
      </c>
    </row>
    <row r="131" spans="1:9" x14ac:dyDescent="0.3">
      <c r="A131" t="s">
        <v>518</v>
      </c>
      <c r="B131" t="s">
        <v>261</v>
      </c>
      <c r="C131" t="s">
        <v>353</v>
      </c>
      <c r="D131">
        <v>2</v>
      </c>
      <c r="E131">
        <v>3</v>
      </c>
      <c r="F131">
        <v>1</v>
      </c>
      <c r="G131">
        <v>1</v>
      </c>
      <c r="H131">
        <v>1</v>
      </c>
      <c r="I131" t="s">
        <v>469</v>
      </c>
    </row>
    <row r="132" spans="1:9" x14ac:dyDescent="0.3">
      <c r="A132" t="s">
        <v>518</v>
      </c>
      <c r="B132" t="s">
        <v>104</v>
      </c>
      <c r="C132" t="s">
        <v>336</v>
      </c>
      <c r="D132">
        <v>2</v>
      </c>
      <c r="E132">
        <v>2</v>
      </c>
      <c r="F132">
        <v>1</v>
      </c>
      <c r="G132">
        <v>1</v>
      </c>
      <c r="H132">
        <v>1</v>
      </c>
      <c r="I132" t="s">
        <v>469</v>
      </c>
    </row>
    <row r="133" spans="1:9" x14ac:dyDescent="0.3">
      <c r="A133" t="s">
        <v>518</v>
      </c>
      <c r="B133" t="s">
        <v>406</v>
      </c>
      <c r="C133" t="s">
        <v>479</v>
      </c>
      <c r="D133">
        <v>1</v>
      </c>
      <c r="E133">
        <v>1</v>
      </c>
      <c r="F133">
        <v>1</v>
      </c>
      <c r="G133">
        <v>1</v>
      </c>
      <c r="H133">
        <v>1</v>
      </c>
      <c r="I133" t="s">
        <v>469</v>
      </c>
    </row>
    <row r="134" spans="1:9" x14ac:dyDescent="0.3">
      <c r="A134" t="s">
        <v>518</v>
      </c>
      <c r="B134" t="s">
        <v>257</v>
      </c>
      <c r="C134" t="s">
        <v>345</v>
      </c>
      <c r="D134" t="s">
        <v>16</v>
      </c>
      <c r="E134">
        <v>3</v>
      </c>
      <c r="F134">
        <v>1</v>
      </c>
      <c r="G134">
        <v>3</v>
      </c>
      <c r="H134">
        <v>1</v>
      </c>
      <c r="I134" t="s">
        <v>469</v>
      </c>
    </row>
    <row r="135" spans="1:9" x14ac:dyDescent="0.3">
      <c r="A135" t="s">
        <v>518</v>
      </c>
      <c r="B135" t="s">
        <v>417</v>
      </c>
      <c r="C135" t="s">
        <v>481</v>
      </c>
      <c r="D135">
        <v>1</v>
      </c>
      <c r="E135">
        <v>1</v>
      </c>
      <c r="F135">
        <v>1</v>
      </c>
      <c r="G135">
        <v>1</v>
      </c>
      <c r="H135">
        <v>1</v>
      </c>
      <c r="I135" t="s">
        <v>469</v>
      </c>
    </row>
    <row r="136" spans="1:9" x14ac:dyDescent="0.3">
      <c r="A136" t="s">
        <v>518</v>
      </c>
      <c r="B136" t="s">
        <v>425</v>
      </c>
      <c r="C136" t="s">
        <v>482</v>
      </c>
      <c r="D136">
        <v>1</v>
      </c>
      <c r="E136">
        <v>1</v>
      </c>
      <c r="F136">
        <v>1</v>
      </c>
      <c r="G136">
        <v>1</v>
      </c>
      <c r="H136">
        <v>1</v>
      </c>
      <c r="I136" t="s">
        <v>469</v>
      </c>
    </row>
    <row r="137" spans="1:9" x14ac:dyDescent="0.3">
      <c r="A137" t="s">
        <v>518</v>
      </c>
      <c r="B137" t="s">
        <v>142</v>
      </c>
      <c r="C137" t="s">
        <v>354</v>
      </c>
      <c r="D137">
        <v>3</v>
      </c>
      <c r="E137">
        <v>3</v>
      </c>
      <c r="F137">
        <v>1</v>
      </c>
      <c r="G137">
        <v>3</v>
      </c>
      <c r="H137">
        <v>2</v>
      </c>
      <c r="I137" t="s">
        <v>469</v>
      </c>
    </row>
    <row r="138" spans="1:9" x14ac:dyDescent="0.3">
      <c r="A138" t="s">
        <v>518</v>
      </c>
      <c r="B138" t="s">
        <v>435</v>
      </c>
      <c r="C138" t="s">
        <v>451</v>
      </c>
      <c r="D138">
        <v>1</v>
      </c>
      <c r="E138">
        <v>1</v>
      </c>
      <c r="F138">
        <v>1</v>
      </c>
      <c r="G138">
        <v>1</v>
      </c>
      <c r="H138">
        <v>1</v>
      </c>
      <c r="I138" t="s">
        <v>469</v>
      </c>
    </row>
    <row r="139" spans="1:9" x14ac:dyDescent="0.3">
      <c r="A139" t="s">
        <v>518</v>
      </c>
      <c r="B139" t="s">
        <v>271</v>
      </c>
      <c r="C139" t="s">
        <v>378</v>
      </c>
      <c r="D139">
        <v>2</v>
      </c>
      <c r="E139">
        <v>3</v>
      </c>
      <c r="F139">
        <v>1</v>
      </c>
      <c r="G139">
        <v>2</v>
      </c>
      <c r="H139">
        <v>1</v>
      </c>
      <c r="I139" t="s">
        <v>469</v>
      </c>
    </row>
    <row r="140" spans="1:9" x14ac:dyDescent="0.3">
      <c r="A140" t="s">
        <v>518</v>
      </c>
      <c r="B140" t="s">
        <v>404</v>
      </c>
      <c r="C140" t="s">
        <v>484</v>
      </c>
      <c r="D140">
        <v>1</v>
      </c>
      <c r="E140">
        <v>1</v>
      </c>
      <c r="F140">
        <v>1</v>
      </c>
      <c r="G140">
        <v>1</v>
      </c>
      <c r="H140">
        <v>1</v>
      </c>
      <c r="I140" t="s">
        <v>469</v>
      </c>
    </row>
    <row r="141" spans="1:9" x14ac:dyDescent="0.3">
      <c r="A141" t="s">
        <v>518</v>
      </c>
      <c r="B141" t="s">
        <v>245</v>
      </c>
      <c r="C141" t="s">
        <v>310</v>
      </c>
      <c r="D141">
        <v>2</v>
      </c>
      <c r="E141">
        <v>3</v>
      </c>
      <c r="F141">
        <v>2</v>
      </c>
      <c r="G141">
        <v>2</v>
      </c>
      <c r="H141">
        <v>2</v>
      </c>
      <c r="I141" t="s">
        <v>469</v>
      </c>
    </row>
    <row r="142" spans="1:9" x14ac:dyDescent="0.3">
      <c r="A142" t="s">
        <v>518</v>
      </c>
      <c r="B142" t="s">
        <v>412</v>
      </c>
      <c r="C142" t="s">
        <v>485</v>
      </c>
      <c r="D142">
        <v>1</v>
      </c>
      <c r="E142">
        <v>1</v>
      </c>
      <c r="F142">
        <v>1</v>
      </c>
      <c r="G142">
        <v>1</v>
      </c>
      <c r="H142">
        <v>1</v>
      </c>
      <c r="I142" t="s">
        <v>469</v>
      </c>
    </row>
    <row r="143" spans="1:9" x14ac:dyDescent="0.3">
      <c r="A143" t="s">
        <v>518</v>
      </c>
      <c r="B143" t="s">
        <v>40</v>
      </c>
      <c r="C143" t="s">
        <v>306</v>
      </c>
      <c r="D143">
        <v>1</v>
      </c>
      <c r="E143">
        <v>3</v>
      </c>
      <c r="F143">
        <v>1</v>
      </c>
      <c r="G143">
        <v>2</v>
      </c>
      <c r="H143">
        <v>2</v>
      </c>
      <c r="I143" t="s">
        <v>469</v>
      </c>
    </row>
    <row r="144" spans="1:9" x14ac:dyDescent="0.3">
      <c r="A144" t="s">
        <v>518</v>
      </c>
      <c r="B144" t="s">
        <v>436</v>
      </c>
      <c r="C144" t="s">
        <v>452</v>
      </c>
      <c r="D144">
        <v>3</v>
      </c>
      <c r="E144">
        <v>3</v>
      </c>
      <c r="F144">
        <v>3</v>
      </c>
      <c r="G144">
        <v>3</v>
      </c>
      <c r="H144">
        <v>1</v>
      </c>
      <c r="I144" t="s">
        <v>469</v>
      </c>
    </row>
    <row r="145" spans="1:9" x14ac:dyDescent="0.3">
      <c r="A145" t="s">
        <v>518</v>
      </c>
      <c r="B145" t="s">
        <v>256</v>
      </c>
      <c r="C145" t="s">
        <v>344</v>
      </c>
      <c r="D145">
        <v>3</v>
      </c>
      <c r="E145">
        <v>3</v>
      </c>
      <c r="F145">
        <v>3</v>
      </c>
      <c r="G145">
        <v>2</v>
      </c>
      <c r="H145">
        <v>2</v>
      </c>
      <c r="I145" t="s">
        <v>469</v>
      </c>
    </row>
    <row r="146" spans="1:9" x14ac:dyDescent="0.3">
      <c r="A146" t="s">
        <v>518</v>
      </c>
      <c r="B146" t="s">
        <v>426</v>
      </c>
      <c r="C146" t="s">
        <v>488</v>
      </c>
      <c r="D146">
        <v>1</v>
      </c>
      <c r="E146">
        <v>1</v>
      </c>
      <c r="F146">
        <v>1</v>
      </c>
      <c r="G146">
        <v>1</v>
      </c>
      <c r="H146">
        <v>1</v>
      </c>
      <c r="I146" t="s">
        <v>469</v>
      </c>
    </row>
    <row r="147" spans="1:9" x14ac:dyDescent="0.3">
      <c r="A147" t="s">
        <v>518</v>
      </c>
      <c r="B147" t="s">
        <v>32</v>
      </c>
      <c r="C147" t="s">
        <v>302</v>
      </c>
      <c r="D147">
        <v>2</v>
      </c>
      <c r="E147">
        <v>3</v>
      </c>
      <c r="F147">
        <v>3</v>
      </c>
      <c r="G147">
        <v>3</v>
      </c>
      <c r="H147">
        <v>2</v>
      </c>
      <c r="I147" t="s">
        <v>469</v>
      </c>
    </row>
    <row r="148" spans="1:9" x14ac:dyDescent="0.3">
      <c r="A148" t="s">
        <v>518</v>
      </c>
      <c r="B148" t="s">
        <v>441</v>
      </c>
      <c r="C148" t="s">
        <v>457</v>
      </c>
      <c r="D148">
        <v>1</v>
      </c>
      <c r="E148">
        <v>1</v>
      </c>
      <c r="F148">
        <v>1</v>
      </c>
      <c r="G148">
        <v>1</v>
      </c>
      <c r="H148">
        <v>1</v>
      </c>
      <c r="I148" t="s">
        <v>469</v>
      </c>
    </row>
    <row r="149" spans="1:9" x14ac:dyDescent="0.3">
      <c r="A149" t="s">
        <v>518</v>
      </c>
      <c r="B149" t="s">
        <v>200</v>
      </c>
      <c r="C149" t="s">
        <v>383</v>
      </c>
      <c r="D149">
        <v>2</v>
      </c>
      <c r="E149">
        <v>3</v>
      </c>
      <c r="F149">
        <v>1</v>
      </c>
      <c r="G149">
        <v>1</v>
      </c>
      <c r="H149">
        <v>1</v>
      </c>
      <c r="I149" t="s">
        <v>469</v>
      </c>
    </row>
    <row r="150" spans="1:9" x14ac:dyDescent="0.3">
      <c r="A150" t="s">
        <v>518</v>
      </c>
      <c r="B150" t="s">
        <v>200</v>
      </c>
      <c r="C150" t="s">
        <v>383</v>
      </c>
      <c r="D150">
        <v>1</v>
      </c>
      <c r="E150">
        <v>1</v>
      </c>
      <c r="F150">
        <v>1</v>
      </c>
      <c r="G150">
        <v>1</v>
      </c>
      <c r="H150">
        <v>1</v>
      </c>
      <c r="I150" t="s">
        <v>469</v>
      </c>
    </row>
    <row r="151" spans="1:9" x14ac:dyDescent="0.3">
      <c r="A151" t="s">
        <v>518</v>
      </c>
      <c r="B151" t="s">
        <v>70</v>
      </c>
      <c r="C151" t="s">
        <v>320</v>
      </c>
      <c r="D151">
        <v>2</v>
      </c>
      <c r="E151">
        <v>1</v>
      </c>
      <c r="F151">
        <v>1</v>
      </c>
      <c r="G151">
        <v>1</v>
      </c>
      <c r="H151">
        <v>2</v>
      </c>
      <c r="I151" t="s">
        <v>469</v>
      </c>
    </row>
    <row r="152" spans="1:9" x14ac:dyDescent="0.3">
      <c r="A152" t="s">
        <v>518</v>
      </c>
      <c r="B152" t="s">
        <v>174</v>
      </c>
      <c r="C152" t="s">
        <v>370</v>
      </c>
      <c r="D152">
        <v>3</v>
      </c>
      <c r="E152">
        <v>3</v>
      </c>
      <c r="F152">
        <v>3</v>
      </c>
      <c r="G152">
        <v>3</v>
      </c>
      <c r="H152">
        <v>1</v>
      </c>
      <c r="I152" t="s">
        <v>469</v>
      </c>
    </row>
    <row r="153" spans="1:9" x14ac:dyDescent="0.3">
      <c r="A153" t="s">
        <v>518</v>
      </c>
      <c r="B153" t="s">
        <v>241</v>
      </c>
      <c r="C153" t="s">
        <v>334</v>
      </c>
      <c r="D153">
        <v>2</v>
      </c>
      <c r="E153">
        <v>2</v>
      </c>
      <c r="F153">
        <v>3</v>
      </c>
      <c r="G153">
        <v>3</v>
      </c>
      <c r="H153">
        <v>1</v>
      </c>
      <c r="I153" t="s">
        <v>469</v>
      </c>
    </row>
    <row r="154" spans="1:9" x14ac:dyDescent="0.3">
      <c r="A154" t="s">
        <v>518</v>
      </c>
      <c r="B154" t="s">
        <v>246</v>
      </c>
      <c r="C154" t="s">
        <v>311</v>
      </c>
      <c r="D154">
        <v>3</v>
      </c>
      <c r="E154">
        <v>3</v>
      </c>
      <c r="F154">
        <v>1</v>
      </c>
      <c r="G154">
        <v>3</v>
      </c>
      <c r="H154">
        <v>1</v>
      </c>
      <c r="I154" t="s">
        <v>469</v>
      </c>
    </row>
    <row r="155" spans="1:9" x14ac:dyDescent="0.3">
      <c r="A155" t="s">
        <v>518</v>
      </c>
      <c r="B155" t="s">
        <v>112</v>
      </c>
      <c r="C155" t="s">
        <v>340</v>
      </c>
      <c r="D155">
        <v>2</v>
      </c>
      <c r="E155">
        <v>3</v>
      </c>
      <c r="F155">
        <v>1</v>
      </c>
      <c r="G155">
        <v>1</v>
      </c>
      <c r="H155">
        <v>1</v>
      </c>
      <c r="I155" t="s">
        <v>469</v>
      </c>
    </row>
    <row r="156" spans="1:9" x14ac:dyDescent="0.3">
      <c r="A156" t="s">
        <v>518</v>
      </c>
      <c r="B156" t="s">
        <v>428</v>
      </c>
      <c r="C156" t="s">
        <v>496</v>
      </c>
      <c r="D156">
        <v>1</v>
      </c>
      <c r="E156">
        <v>1</v>
      </c>
      <c r="F156">
        <v>1</v>
      </c>
      <c r="G156">
        <v>1</v>
      </c>
      <c r="H156">
        <v>1</v>
      </c>
      <c r="I156" t="s">
        <v>469</v>
      </c>
    </row>
    <row r="157" spans="1:9" x14ac:dyDescent="0.3">
      <c r="A157" t="s">
        <v>518</v>
      </c>
      <c r="B157" t="s">
        <v>242</v>
      </c>
      <c r="C157" t="s">
        <v>399</v>
      </c>
      <c r="D157">
        <v>2</v>
      </c>
      <c r="E157">
        <v>1</v>
      </c>
      <c r="F157">
        <v>2</v>
      </c>
      <c r="G157">
        <v>2</v>
      </c>
      <c r="H157">
        <v>1</v>
      </c>
      <c r="I157" t="s">
        <v>469</v>
      </c>
    </row>
    <row r="158" spans="1:9" x14ac:dyDescent="0.3">
      <c r="A158" t="s">
        <v>518</v>
      </c>
      <c r="B158" t="s">
        <v>269</v>
      </c>
      <c r="C158" t="s">
        <v>376</v>
      </c>
      <c r="D158">
        <v>2</v>
      </c>
      <c r="E158">
        <v>3</v>
      </c>
      <c r="F158">
        <v>1</v>
      </c>
      <c r="G158">
        <v>1</v>
      </c>
      <c r="H158">
        <v>2</v>
      </c>
      <c r="I158" t="s">
        <v>469</v>
      </c>
    </row>
    <row r="159" spans="1:9" x14ac:dyDescent="0.3">
      <c r="A159" t="s">
        <v>518</v>
      </c>
      <c r="B159" t="s">
        <v>268</v>
      </c>
      <c r="C159" t="s">
        <v>374</v>
      </c>
      <c r="D159">
        <v>2</v>
      </c>
      <c r="E159">
        <v>2</v>
      </c>
      <c r="F159">
        <v>1</v>
      </c>
      <c r="G159">
        <v>2</v>
      </c>
      <c r="H159">
        <v>1</v>
      </c>
      <c r="I159" t="s">
        <v>469</v>
      </c>
    </row>
    <row r="160" spans="1:9" x14ac:dyDescent="0.3">
      <c r="A160" t="s">
        <v>518</v>
      </c>
      <c r="B160" t="s">
        <v>435</v>
      </c>
      <c r="C160" t="s">
        <v>462</v>
      </c>
      <c r="D160">
        <v>3</v>
      </c>
      <c r="E160">
        <v>3</v>
      </c>
      <c r="F160">
        <v>3</v>
      </c>
      <c r="G160">
        <v>3</v>
      </c>
      <c r="H160">
        <v>1</v>
      </c>
      <c r="I160" t="s">
        <v>469</v>
      </c>
    </row>
    <row r="161" spans="1:9" x14ac:dyDescent="0.3">
      <c r="A161" t="s">
        <v>518</v>
      </c>
      <c r="B161" t="s">
        <v>130</v>
      </c>
      <c r="C161" t="s">
        <v>349</v>
      </c>
      <c r="D161">
        <v>2</v>
      </c>
      <c r="E161">
        <v>1</v>
      </c>
      <c r="F161">
        <v>1</v>
      </c>
      <c r="G161">
        <v>1</v>
      </c>
      <c r="H161">
        <v>2</v>
      </c>
      <c r="I161" t="s">
        <v>469</v>
      </c>
    </row>
    <row r="162" spans="1:9" x14ac:dyDescent="0.3">
      <c r="A162" t="s">
        <v>518</v>
      </c>
      <c r="B162" t="s">
        <v>410</v>
      </c>
      <c r="C162" t="s">
        <v>498</v>
      </c>
      <c r="D162">
        <v>1</v>
      </c>
      <c r="E162">
        <v>1</v>
      </c>
      <c r="F162">
        <v>1</v>
      </c>
      <c r="G162">
        <v>1</v>
      </c>
      <c r="H162">
        <v>1</v>
      </c>
      <c r="I162" t="s">
        <v>469</v>
      </c>
    </row>
    <row r="163" spans="1:9" x14ac:dyDescent="0.3">
      <c r="A163" t="s">
        <v>518</v>
      </c>
      <c r="B163" t="s">
        <v>445</v>
      </c>
      <c r="C163" t="s">
        <v>463</v>
      </c>
      <c r="D163">
        <v>3</v>
      </c>
      <c r="E163">
        <v>3</v>
      </c>
      <c r="F163">
        <v>3</v>
      </c>
      <c r="G163">
        <v>3</v>
      </c>
      <c r="H163">
        <v>1</v>
      </c>
      <c r="I163" t="s">
        <v>469</v>
      </c>
    </row>
    <row r="164" spans="1:9" x14ac:dyDescent="0.3">
      <c r="A164" t="s">
        <v>518</v>
      </c>
      <c r="B164" t="s">
        <v>407</v>
      </c>
      <c r="C164" t="s">
        <v>499</v>
      </c>
      <c r="D164">
        <v>1</v>
      </c>
      <c r="E164">
        <v>1</v>
      </c>
      <c r="F164">
        <v>1</v>
      </c>
      <c r="G164">
        <v>1</v>
      </c>
      <c r="H164">
        <v>1</v>
      </c>
      <c r="I164" t="s">
        <v>469</v>
      </c>
    </row>
    <row r="165" spans="1:9" x14ac:dyDescent="0.3">
      <c r="A165" t="s">
        <v>518</v>
      </c>
      <c r="B165" t="s">
        <v>413</v>
      </c>
      <c r="C165" t="s">
        <v>501</v>
      </c>
      <c r="D165">
        <v>1</v>
      </c>
      <c r="E165">
        <v>1</v>
      </c>
      <c r="F165">
        <v>1</v>
      </c>
      <c r="G165">
        <v>1</v>
      </c>
      <c r="H165">
        <v>1</v>
      </c>
      <c r="I165" t="s">
        <v>469</v>
      </c>
    </row>
    <row r="166" spans="1:9" x14ac:dyDescent="0.3">
      <c r="A166" t="s">
        <v>518</v>
      </c>
      <c r="B166" t="s">
        <v>234</v>
      </c>
      <c r="C166" t="s">
        <v>400</v>
      </c>
      <c r="D166">
        <v>2</v>
      </c>
      <c r="E166">
        <v>1</v>
      </c>
      <c r="F166">
        <v>1</v>
      </c>
      <c r="G166">
        <v>1</v>
      </c>
      <c r="H166">
        <v>2</v>
      </c>
      <c r="I166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AAFC-6752-4AD4-9E51-21302CC0304F}">
  <dimension ref="B3:G21"/>
  <sheetViews>
    <sheetView workbookViewId="0">
      <selection activeCell="C17" sqref="C17:C21"/>
    </sheetView>
  </sheetViews>
  <sheetFormatPr baseColWidth="10" defaultColWidth="18.6640625" defaultRowHeight="14.4" x14ac:dyDescent="0.3"/>
  <cols>
    <col min="1" max="16384" width="18.6640625" style="8"/>
  </cols>
  <sheetData>
    <row r="3" spans="2:7" x14ac:dyDescent="0.3">
      <c r="C3" s="7">
        <v>46076</v>
      </c>
      <c r="D3" s="7">
        <v>46077</v>
      </c>
      <c r="E3" s="7">
        <v>46078</v>
      </c>
      <c r="F3" s="7">
        <v>46079</v>
      </c>
      <c r="G3" s="7">
        <v>46080</v>
      </c>
    </row>
    <row r="5" spans="2:7" ht="43.2" x14ac:dyDescent="0.3">
      <c r="C5" s="8" t="s">
        <v>502</v>
      </c>
      <c r="D5" s="8" t="s">
        <v>505</v>
      </c>
      <c r="E5" s="8" t="s">
        <v>508</v>
      </c>
      <c r="F5" s="8" t="s">
        <v>511</v>
      </c>
      <c r="G5" s="8" t="s">
        <v>514</v>
      </c>
    </row>
    <row r="6" spans="2:7" ht="43.2" x14ac:dyDescent="0.3">
      <c r="C6" s="8" t="s">
        <v>503</v>
      </c>
      <c r="D6" s="8" t="s">
        <v>506</v>
      </c>
      <c r="E6" s="8" t="s">
        <v>509</v>
      </c>
      <c r="F6" s="8" t="s">
        <v>512</v>
      </c>
      <c r="G6" s="8" t="s">
        <v>515</v>
      </c>
    </row>
    <row r="7" spans="2:7" ht="72" x14ac:dyDescent="0.3">
      <c r="C7" s="8" t="s">
        <v>504</v>
      </c>
      <c r="D7" s="8" t="s">
        <v>507</v>
      </c>
      <c r="E7" s="8" t="s">
        <v>510</v>
      </c>
      <c r="F7" s="8" t="s">
        <v>513</v>
      </c>
    </row>
    <row r="9" spans="2:7" x14ac:dyDescent="0.3">
      <c r="B9" s="8">
        <v>1</v>
      </c>
      <c r="C9" s="8">
        <f>COUNTIF(BASE!D:D,RESUMEN!$B$9)</f>
        <v>52</v>
      </c>
      <c r="D9" s="8">
        <f>COUNTIF(BASE!E:E,RESUMEN!$B$9)</f>
        <v>66</v>
      </c>
      <c r="E9" s="8">
        <f>COUNTIF(BASE!F:F,RESUMEN!$B$9)</f>
        <v>107</v>
      </c>
      <c r="F9" s="8">
        <f>COUNTIF(BASE!G:G,RESUMEN!$B$9)</f>
        <v>68</v>
      </c>
      <c r="G9" s="8">
        <f>COUNTIF(BASE!H:H,RESUMEN!$B$9)</f>
        <v>96</v>
      </c>
    </row>
    <row r="10" spans="2:7" x14ac:dyDescent="0.3">
      <c r="B10" s="8">
        <v>2</v>
      </c>
      <c r="C10" s="8">
        <f>COUNTIF(BASE!D:D,RESUMEN!$B$10)</f>
        <v>68</v>
      </c>
      <c r="D10" s="8">
        <f>COUNTIF(BASE!E:E,RESUMEN!$B$10)</f>
        <v>12</v>
      </c>
      <c r="E10" s="8">
        <f>COUNTIF(BASE!F:F,RESUMEN!$B$10)</f>
        <v>9</v>
      </c>
      <c r="F10" s="8">
        <f>COUNTIF(BASE!G:G,RESUMEN!$B$10)</f>
        <v>25</v>
      </c>
      <c r="G10" s="8">
        <f>COUNTIF(BASE!H:H,RESUMEN!$B$10)</f>
        <v>59</v>
      </c>
    </row>
    <row r="11" spans="2:7" x14ac:dyDescent="0.3">
      <c r="B11" s="8">
        <v>3</v>
      </c>
      <c r="C11" s="8">
        <f>COUNTIF(BASE!D:D,RESUMEN!$B$11)</f>
        <v>33</v>
      </c>
      <c r="D11" s="8">
        <f>COUNTIF(BASE!E:E,RESUMEN!$B$11)</f>
        <v>77</v>
      </c>
      <c r="E11" s="8">
        <f>COUNTIF(BASE!F:F,RESUMEN!$B$11)</f>
        <v>36</v>
      </c>
      <c r="F11" s="8">
        <f>COUNTIF(BASE!G:G,RESUMEN!$B$11)</f>
        <v>61</v>
      </c>
      <c r="G11" s="8">
        <f>COUNTIF(BASE!H:H,RESUMEN!$B$11)</f>
        <v>0</v>
      </c>
    </row>
    <row r="13" spans="2:7" x14ac:dyDescent="0.3">
      <c r="C13" s="8">
        <f>SUM(C9:C12)</f>
        <v>153</v>
      </c>
      <c r="D13" s="8">
        <f t="shared" ref="D13:G13" si="0">SUM(D9:D12)</f>
        <v>155</v>
      </c>
      <c r="E13" s="8">
        <f t="shared" si="0"/>
        <v>152</v>
      </c>
      <c r="F13" s="8">
        <f t="shared" si="0"/>
        <v>154</v>
      </c>
      <c r="G13" s="8">
        <f t="shared" si="0"/>
        <v>155</v>
      </c>
    </row>
    <row r="15" spans="2:7" x14ac:dyDescent="0.3">
      <c r="C15" s="8">
        <v>153</v>
      </c>
      <c r="D15" s="8">
        <v>155</v>
      </c>
      <c r="E15" s="8">
        <v>152</v>
      </c>
      <c r="F15" s="8">
        <v>154</v>
      </c>
      <c r="G15" s="8">
        <v>155</v>
      </c>
    </row>
    <row r="17" spans="3:3" x14ac:dyDescent="0.3">
      <c r="C17" s="8">
        <v>153</v>
      </c>
    </row>
    <row r="18" spans="3:3" x14ac:dyDescent="0.3">
      <c r="C18" s="8">
        <v>155</v>
      </c>
    </row>
    <row r="19" spans="3:3" x14ac:dyDescent="0.3">
      <c r="C19" s="8">
        <v>152</v>
      </c>
    </row>
    <row r="20" spans="3:3" x14ac:dyDescent="0.3">
      <c r="C20" s="8">
        <v>154</v>
      </c>
    </row>
    <row r="21" spans="3:3" x14ac:dyDescent="0.3">
      <c r="C21" s="8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3f29d3-ca64-43e8-892f-fbdad224bb9d" xsi:nil="true"/>
    <lcf76f155ced4ddcb4097134ff3c332f xmlns="0819633b-5581-4657-aebe-ce8e67c6390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3D4123FC5E9946BA958883412396F1" ma:contentTypeVersion="13" ma:contentTypeDescription="Crear nuevo documento." ma:contentTypeScope="" ma:versionID="1941019b400ae8acb6ad8c9a459e4cbd">
  <xsd:schema xmlns:xsd="http://www.w3.org/2001/XMLSchema" xmlns:xs="http://www.w3.org/2001/XMLSchema" xmlns:p="http://schemas.microsoft.com/office/2006/metadata/properties" xmlns:ns2="0819633b-5581-4657-aebe-ce8e67c63905" xmlns:ns3="313f29d3-ca64-43e8-892f-fbdad224bb9d" targetNamespace="http://schemas.microsoft.com/office/2006/metadata/properties" ma:root="true" ma:fieldsID="cdfa03f5dc3d3a428325f388894c3eba" ns2:_="" ns3:_="">
    <xsd:import namespace="0819633b-5581-4657-aebe-ce8e67c63905"/>
    <xsd:import namespace="313f29d3-ca64-43e8-892f-fbdad224bb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9633b-5581-4657-aebe-ce8e67c639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911ad64-ba14-4476-8a74-4668a8663c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f29d3-ca64-43e8-892f-fbdad224bb9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bc6433-1356-40f2-ba48-12d7c43b6860}" ma:internalName="TaxCatchAll" ma:showField="CatchAllData" ma:web="313f29d3-ca64-43e8-892f-fbdad224bb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59E233-F13A-4EFF-A231-4905DC1105DF}">
  <ds:schemaRefs>
    <ds:schemaRef ds:uri="http://schemas.microsoft.com/office/2006/metadata/properties"/>
    <ds:schemaRef ds:uri="http://schemas.microsoft.com/office/infopath/2007/PartnerControls"/>
    <ds:schemaRef ds:uri="313f29d3-ca64-43e8-892f-fbdad224bb9d"/>
    <ds:schemaRef ds:uri="0819633b-5581-4657-aebe-ce8e67c63905"/>
  </ds:schemaRefs>
</ds:datastoreItem>
</file>

<file path=customXml/itemProps2.xml><?xml version="1.0" encoding="utf-8"?>
<ds:datastoreItem xmlns:ds="http://schemas.openxmlformats.org/officeDocument/2006/customXml" ds:itemID="{7AF04638-CDE8-4449-9E53-BB00D462D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19633b-5581-4657-aebe-ce8e67c63905"/>
    <ds:schemaRef ds:uri="313f29d3-ca64-43e8-892f-fbdad224bb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C2F9CE-5BCE-4A74-84DB-B19DB2070B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Sheet1</vt:lpstr>
      <vt:lpstr>Hoja2</vt:lpstr>
      <vt:lpstr>TURNOS</vt:lpstr>
      <vt:lpstr>BASE</vt:lpstr>
      <vt:lpstr>TOTEM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Oliver Vasquez</cp:lastModifiedBy>
  <cp:lastPrinted>2026-02-22T15:11:27Z</cp:lastPrinted>
  <dcterms:created xsi:type="dcterms:W3CDTF">2026-02-20T12:11:37Z</dcterms:created>
  <dcterms:modified xsi:type="dcterms:W3CDTF">2026-04-08T21:46:13Z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0x0101007D3D4123FC5E9946BA958883412396F1</vt:lpwstr>
  </property>
</Properties>
</file>